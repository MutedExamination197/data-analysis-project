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Code\Code\Python\Data_Project\Excel Files\"/>
    </mc:Choice>
  </mc:AlternateContent>
  <xr:revisionPtr revIDLastSave="0" documentId="13_ncr:1_{FF60F28B-D9BE-4240-BD4A-C5D5BFEB9904}" xr6:coauthVersionLast="47" xr6:coauthVersionMax="47" xr10:uidLastSave="{00000000-0000-0000-0000-000000000000}"/>
  <bookViews>
    <workbookView xWindow="-98" yWindow="-98" windowWidth="21795" windowHeight="13695" xr2:uid="{369E4836-92E2-44AD-8257-2B7A8DF32B0E}"/>
  </bookViews>
  <sheets>
    <sheet name="Sheet2" sheetId="2" r:id="rId1"/>
  </sheets>
  <definedNames>
    <definedName name="_xlnm._FilterDatabase" localSheetId="0" hidden="1">Sheet2!$C$1:$C$69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N3" i="2"/>
  <c r="P3" i="2" s="1"/>
  <c r="S3" i="2" s="1"/>
  <c r="N4" i="2"/>
  <c r="P4" i="2" s="1"/>
  <c r="N5" i="2"/>
  <c r="P5" i="2" s="1"/>
  <c r="N6" i="2"/>
  <c r="P6" i="2" s="1"/>
  <c r="Q6" i="2" s="1"/>
  <c r="N7" i="2"/>
  <c r="P7" i="2" s="1"/>
  <c r="Q7" i="2" s="1"/>
  <c r="N8" i="2"/>
  <c r="P8" i="2" s="1"/>
  <c r="Q8" i="2" s="1"/>
  <c r="N9" i="2"/>
  <c r="P9" i="2" s="1"/>
  <c r="Q9" i="2" s="1"/>
  <c r="N10" i="2"/>
  <c r="P10" i="2" s="1"/>
  <c r="Q10" i="2" s="1"/>
  <c r="N11" i="2"/>
  <c r="P11" i="2" s="1"/>
  <c r="Q11" i="2" s="1"/>
  <c r="N12" i="2"/>
  <c r="P12" i="2" s="1"/>
  <c r="Q12" i="2" s="1"/>
  <c r="N13" i="2"/>
  <c r="P13" i="2" s="1"/>
  <c r="Q13" i="2" s="1"/>
  <c r="N14" i="2"/>
  <c r="P14" i="2" s="1"/>
  <c r="Q14" i="2" s="1"/>
  <c r="N15" i="2"/>
  <c r="P15" i="2" s="1"/>
  <c r="Q15" i="2" s="1"/>
  <c r="N16" i="2"/>
  <c r="P16" i="2" s="1"/>
  <c r="N17" i="2"/>
  <c r="P17" i="2" s="1"/>
  <c r="N18" i="2"/>
  <c r="P18" i="2" s="1"/>
  <c r="N19" i="2"/>
  <c r="P19" i="2" s="1"/>
  <c r="Q19" i="2" s="1"/>
  <c r="N20" i="2"/>
  <c r="P20" i="2" s="1"/>
  <c r="N21" i="2"/>
  <c r="P21" i="2" s="1"/>
  <c r="N22" i="2"/>
  <c r="P22" i="2" s="1"/>
  <c r="Q22" i="2" s="1"/>
  <c r="N23" i="2"/>
  <c r="P23" i="2" s="1"/>
  <c r="Q23" i="2" s="1"/>
  <c r="N24" i="2"/>
  <c r="P24" i="2" s="1"/>
  <c r="Q24" i="2" s="1"/>
  <c r="N25" i="2"/>
  <c r="P25" i="2" s="1"/>
  <c r="Q25" i="2" s="1"/>
  <c r="N26" i="2"/>
  <c r="P26" i="2" s="1"/>
  <c r="Q26" i="2" s="1"/>
  <c r="N27" i="2"/>
  <c r="P27" i="2" s="1"/>
  <c r="Q27" i="2" s="1"/>
  <c r="N28" i="2"/>
  <c r="P28" i="2" s="1"/>
  <c r="Q28" i="2" s="1"/>
  <c r="N29" i="2"/>
  <c r="P29" i="2" s="1"/>
  <c r="Q29" i="2" s="1"/>
  <c r="N30" i="2"/>
  <c r="P30" i="2" s="1"/>
  <c r="Q30" i="2" s="1"/>
  <c r="N31" i="2"/>
  <c r="P31" i="2" s="1"/>
  <c r="Q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Q38" i="2" s="1"/>
  <c r="N39" i="2"/>
  <c r="P39" i="2" s="1"/>
  <c r="Q39" i="2" s="1"/>
  <c r="N40" i="2"/>
  <c r="P40" i="2" s="1"/>
  <c r="Q40" i="2" s="1"/>
  <c r="N41" i="2"/>
  <c r="P41" i="2" s="1"/>
  <c r="Q41" i="2" s="1"/>
  <c r="N42" i="2"/>
  <c r="P42" i="2" s="1"/>
  <c r="Q42" i="2" s="1"/>
  <c r="N43" i="2"/>
  <c r="P43" i="2" s="1"/>
  <c r="Q43" i="2" s="1"/>
  <c r="N44" i="2"/>
  <c r="P44" i="2" s="1"/>
  <c r="Q44" i="2" s="1"/>
  <c r="N45" i="2"/>
  <c r="P45" i="2" s="1"/>
  <c r="Q45" i="2" s="1"/>
  <c r="N46" i="2"/>
  <c r="P46" i="2" s="1"/>
  <c r="Q46" i="2" s="1"/>
  <c r="N47" i="2"/>
  <c r="P47" i="2" s="1"/>
  <c r="Q47" i="2" s="1"/>
  <c r="N48" i="2"/>
  <c r="P48" i="2" s="1"/>
  <c r="N49" i="2"/>
  <c r="P49" i="2" s="1"/>
  <c r="N50" i="2"/>
  <c r="P50" i="2" s="1"/>
  <c r="Q50" i="2" s="1"/>
  <c r="N51" i="2"/>
  <c r="P51" i="2" s="1"/>
  <c r="Q51" i="2" s="1"/>
  <c r="N52" i="2"/>
  <c r="P52" i="2" s="1"/>
  <c r="Q52" i="2" s="1"/>
  <c r="N2" i="2"/>
  <c r="P2" i="2" s="1"/>
  <c r="S15" i="2" l="1"/>
  <c r="T43" i="2"/>
  <c r="T27" i="2"/>
  <c r="Q21" i="2"/>
  <c r="T21" i="2"/>
  <c r="T5" i="2"/>
  <c r="Q5" i="2"/>
  <c r="U5" i="2"/>
  <c r="Q18" i="2"/>
  <c r="T18" i="2"/>
  <c r="U7" i="2"/>
  <c r="V43" i="2"/>
  <c r="V40" i="2"/>
  <c r="R25" i="2"/>
  <c r="V39" i="2"/>
  <c r="R24" i="2"/>
  <c r="V38" i="2"/>
  <c r="R23" i="2"/>
  <c r="W43" i="2"/>
  <c r="S47" i="2"/>
  <c r="W42" i="2"/>
  <c r="S40" i="2"/>
  <c r="W41" i="2"/>
  <c r="S31" i="2"/>
  <c r="W40" i="2"/>
  <c r="W39" i="2"/>
  <c r="W38" i="2"/>
  <c r="W7" i="2"/>
  <c r="W6" i="2"/>
  <c r="Q2" i="2"/>
  <c r="U2" i="2"/>
  <c r="S29" i="2"/>
  <c r="W24" i="2"/>
  <c r="S24" i="2"/>
  <c r="X46" i="2"/>
  <c r="R12" i="2"/>
  <c r="S27" i="2"/>
  <c r="X43" i="2"/>
  <c r="V27" i="2"/>
  <c r="W27" i="2"/>
  <c r="R44" i="2"/>
  <c r="U52" i="2"/>
  <c r="X41" i="2"/>
  <c r="R43" i="2"/>
  <c r="U51" i="2"/>
  <c r="V23" i="2"/>
  <c r="X39" i="2"/>
  <c r="R42" i="2"/>
  <c r="S50" i="2"/>
  <c r="S14" i="2"/>
  <c r="U50" i="2"/>
  <c r="X30" i="2"/>
  <c r="W23" i="2"/>
  <c r="U39" i="2"/>
  <c r="V7" i="2"/>
  <c r="X45" i="2"/>
  <c r="R11" i="2"/>
  <c r="S28" i="2"/>
  <c r="X44" i="2"/>
  <c r="R10" i="2"/>
  <c r="R9" i="2"/>
  <c r="X42" i="2"/>
  <c r="R8" i="2"/>
  <c r="V24" i="2"/>
  <c r="W26" i="2"/>
  <c r="W25" i="2"/>
  <c r="S13" i="2"/>
  <c r="U40" i="2"/>
  <c r="V21" i="2"/>
  <c r="X29" i="2"/>
  <c r="R40" i="2"/>
  <c r="S46" i="2"/>
  <c r="S12" i="2"/>
  <c r="V11" i="2"/>
  <c r="W22" i="2"/>
  <c r="X28" i="2"/>
  <c r="R39" i="2"/>
  <c r="S45" i="2"/>
  <c r="S11" i="2"/>
  <c r="U24" i="2"/>
  <c r="V8" i="2"/>
  <c r="W11" i="2"/>
  <c r="X27" i="2"/>
  <c r="R28" i="2"/>
  <c r="S44" i="2"/>
  <c r="S10" i="2"/>
  <c r="U23" i="2"/>
  <c r="X26" i="2"/>
  <c r="R27" i="2"/>
  <c r="S43" i="2"/>
  <c r="S8" i="2"/>
  <c r="U21" i="2"/>
  <c r="V6" i="2"/>
  <c r="W9" i="2"/>
  <c r="X25" i="2"/>
  <c r="S30" i="2"/>
  <c r="T11" i="2"/>
  <c r="S26" i="2"/>
  <c r="R7" i="2"/>
  <c r="V22" i="2"/>
  <c r="R41" i="2"/>
  <c r="W10" i="2"/>
  <c r="R26" i="2"/>
  <c r="S42" i="2"/>
  <c r="T50" i="2"/>
  <c r="U8" i="2"/>
  <c r="V5" i="2"/>
  <c r="W8" i="2"/>
  <c r="X23" i="2"/>
  <c r="Q37" i="2"/>
  <c r="U37" i="2"/>
  <c r="S37" i="2"/>
  <c r="X37" i="2"/>
  <c r="R37" i="2"/>
  <c r="W37" i="2"/>
  <c r="V37" i="2"/>
  <c r="T37" i="2"/>
  <c r="Q36" i="2"/>
  <c r="S36" i="2"/>
  <c r="U36" i="2"/>
  <c r="X36" i="2"/>
  <c r="W36" i="2"/>
  <c r="V36" i="2"/>
  <c r="R36" i="2"/>
  <c r="T36" i="2"/>
  <c r="Q20" i="2"/>
  <c r="S20" i="2"/>
  <c r="V20" i="2"/>
  <c r="X20" i="2"/>
  <c r="W20" i="2"/>
  <c r="R20" i="2"/>
  <c r="T20" i="2"/>
  <c r="U20" i="2"/>
  <c r="Q4" i="2"/>
  <c r="S4" i="2"/>
  <c r="V4" i="2"/>
  <c r="X4" i="2"/>
  <c r="R4" i="2"/>
  <c r="U4" i="2"/>
  <c r="T4" i="2"/>
  <c r="W4" i="2"/>
  <c r="Q35" i="2"/>
  <c r="X35" i="2"/>
  <c r="R35" i="2"/>
  <c r="W35" i="2"/>
  <c r="U35" i="2"/>
  <c r="T35" i="2"/>
  <c r="S35" i="2"/>
  <c r="V35" i="2"/>
  <c r="Q3" i="2"/>
  <c r="X3" i="2"/>
  <c r="U3" i="2"/>
  <c r="R3" i="2"/>
  <c r="W3" i="2"/>
  <c r="V3" i="2"/>
  <c r="T3" i="2"/>
  <c r="Q34" i="2"/>
  <c r="T34" i="2"/>
  <c r="R34" i="2"/>
  <c r="W34" i="2"/>
  <c r="V34" i="2"/>
  <c r="S34" i="2"/>
  <c r="X34" i="2"/>
  <c r="U34" i="2"/>
  <c r="Q49" i="2"/>
  <c r="R49" i="2"/>
  <c r="W49" i="2"/>
  <c r="S49" i="2"/>
  <c r="X49" i="2"/>
  <c r="V49" i="2"/>
  <c r="U49" i="2"/>
  <c r="T49" i="2"/>
  <c r="Q33" i="2"/>
  <c r="R33" i="2"/>
  <c r="U33" i="2"/>
  <c r="W33" i="2"/>
  <c r="T33" i="2"/>
  <c r="S33" i="2"/>
  <c r="X33" i="2"/>
  <c r="V33" i="2"/>
  <c r="Q17" i="2"/>
  <c r="R17" i="2"/>
  <c r="W17" i="2"/>
  <c r="U17" i="2"/>
  <c r="S17" i="2"/>
  <c r="T17" i="2"/>
  <c r="X17" i="2"/>
  <c r="V17" i="2"/>
  <c r="Q48" i="2"/>
  <c r="W48" i="2"/>
  <c r="V48" i="2"/>
  <c r="T48" i="2"/>
  <c r="U48" i="2"/>
  <c r="S48" i="2"/>
  <c r="X48" i="2"/>
  <c r="R48" i="2"/>
  <c r="Q16" i="2"/>
  <c r="W16" i="2"/>
  <c r="T16" i="2"/>
  <c r="V16" i="2"/>
  <c r="U16" i="2"/>
  <c r="S16" i="2"/>
  <c r="X16" i="2"/>
  <c r="R16" i="2"/>
  <c r="Q32" i="2"/>
  <c r="W32" i="2"/>
  <c r="V32" i="2"/>
  <c r="U32" i="2"/>
  <c r="S32" i="2"/>
  <c r="X32" i="2"/>
  <c r="T32" i="2"/>
  <c r="R32" i="2"/>
  <c r="R2" i="2"/>
  <c r="U46" i="2"/>
  <c r="U30" i="2"/>
  <c r="W52" i="2"/>
  <c r="S51" i="2"/>
  <c r="S19" i="2"/>
  <c r="T38" i="2"/>
  <c r="T22" i="2"/>
  <c r="T6" i="2"/>
  <c r="U41" i="2"/>
  <c r="U25" i="2"/>
  <c r="U9" i="2"/>
  <c r="V44" i="2"/>
  <c r="V28" i="2"/>
  <c r="V12" i="2"/>
  <c r="W47" i="2"/>
  <c r="W31" i="2"/>
  <c r="W15" i="2"/>
  <c r="X50" i="2"/>
  <c r="X18" i="2"/>
  <c r="U19" i="2"/>
  <c r="R47" i="2"/>
  <c r="R31" i="2"/>
  <c r="R15" i="2"/>
  <c r="S18" i="2"/>
  <c r="T2" i="2"/>
  <c r="W46" i="2"/>
  <c r="W30" i="2"/>
  <c r="W14" i="2"/>
  <c r="R46" i="2"/>
  <c r="R30" i="2"/>
  <c r="R14" i="2"/>
  <c r="T52" i="2"/>
  <c r="V42" i="2"/>
  <c r="V26" i="2"/>
  <c r="V10" i="2"/>
  <c r="W45" i="2"/>
  <c r="W29" i="2"/>
  <c r="W13" i="2"/>
  <c r="R45" i="2"/>
  <c r="R29" i="2"/>
  <c r="R13" i="2"/>
  <c r="T51" i="2"/>
  <c r="T19" i="2"/>
  <c r="U38" i="2"/>
  <c r="U22" i="2"/>
  <c r="U6" i="2"/>
  <c r="V41" i="2"/>
  <c r="V25" i="2"/>
  <c r="V9" i="2"/>
  <c r="W44" i="2"/>
  <c r="W28" i="2"/>
  <c r="W12" i="2"/>
  <c r="X47" i="2"/>
  <c r="X31" i="2"/>
  <c r="X15" i="2"/>
  <c r="X14" i="2"/>
  <c r="X13" i="2"/>
  <c r="X12" i="2"/>
  <c r="T47" i="2"/>
  <c r="T31" i="2"/>
  <c r="T15" i="2"/>
  <c r="V2" i="2"/>
  <c r="X11" i="2"/>
  <c r="X10" i="2"/>
  <c r="X9" i="2"/>
  <c r="T45" i="2"/>
  <c r="T29" i="2"/>
  <c r="T13" i="2"/>
  <c r="V51" i="2"/>
  <c r="R38" i="2"/>
  <c r="R22" i="2"/>
  <c r="R6" i="2"/>
  <c r="S41" i="2"/>
  <c r="S25" i="2"/>
  <c r="S9" i="2"/>
  <c r="T44" i="2"/>
  <c r="T28" i="2"/>
  <c r="T12" i="2"/>
  <c r="U47" i="2"/>
  <c r="U31" i="2"/>
  <c r="U15" i="2"/>
  <c r="V50" i="2"/>
  <c r="V18" i="2"/>
  <c r="W2" i="2"/>
  <c r="W21" i="2"/>
  <c r="W5" i="2"/>
  <c r="X40" i="2"/>
  <c r="X24" i="2"/>
  <c r="X8" i="2"/>
  <c r="X7" i="2"/>
  <c r="T46" i="2"/>
  <c r="V19" i="2"/>
  <c r="U14" i="2"/>
  <c r="R52" i="2"/>
  <c r="S39" i="2"/>
  <c r="S23" i="2"/>
  <c r="S7" i="2"/>
  <c r="T42" i="2"/>
  <c r="T26" i="2"/>
  <c r="T10" i="2"/>
  <c r="U45" i="2"/>
  <c r="U29" i="2"/>
  <c r="U13" i="2"/>
  <c r="W51" i="2"/>
  <c r="W19" i="2"/>
  <c r="X38" i="2"/>
  <c r="X22" i="2"/>
  <c r="X6" i="2"/>
  <c r="R51" i="2"/>
  <c r="R19" i="2"/>
  <c r="S38" i="2"/>
  <c r="S22" i="2"/>
  <c r="S6" i="2"/>
  <c r="T41" i="2"/>
  <c r="T25" i="2"/>
  <c r="T9" i="2"/>
  <c r="U44" i="2"/>
  <c r="U28" i="2"/>
  <c r="U12" i="2"/>
  <c r="V47" i="2"/>
  <c r="V31" i="2"/>
  <c r="V15" i="2"/>
  <c r="W50" i="2"/>
  <c r="W18" i="2"/>
  <c r="X2" i="2"/>
  <c r="X21" i="2"/>
  <c r="X5" i="2"/>
  <c r="V52" i="2"/>
  <c r="R50" i="2"/>
  <c r="R18" i="2"/>
  <c r="S2" i="2"/>
  <c r="S21" i="2"/>
  <c r="S5" i="2"/>
  <c r="T40" i="2"/>
  <c r="T24" i="2"/>
  <c r="T8" i="2"/>
  <c r="U43" i="2"/>
  <c r="U27" i="2"/>
  <c r="U11" i="2"/>
  <c r="V46" i="2"/>
  <c r="V30" i="2"/>
  <c r="V14" i="2"/>
  <c r="X52" i="2"/>
  <c r="U18" i="2"/>
  <c r="T30" i="2"/>
  <c r="T14" i="2"/>
  <c r="R21" i="2"/>
  <c r="R5" i="2"/>
  <c r="S52" i="2"/>
  <c r="T39" i="2"/>
  <c r="T23" i="2"/>
  <c r="T7" i="2"/>
  <c r="U42" i="2"/>
  <c r="U26" i="2"/>
  <c r="U10" i="2"/>
  <c r="V45" i="2"/>
  <c r="V29" i="2"/>
  <c r="V13" i="2"/>
  <c r="X51" i="2"/>
  <c r="X19" i="2"/>
</calcChain>
</file>

<file path=xl/sharedStrings.xml><?xml version="1.0" encoding="utf-8"?>
<sst xmlns="http://schemas.openxmlformats.org/spreadsheetml/2006/main" count="126" uniqueCount="125">
  <si>
    <t>Company Name</t>
  </si>
  <si>
    <t>Employee Count</t>
  </si>
  <si>
    <t>TCS</t>
  </si>
  <si>
    <t>Wipro</t>
  </si>
  <si>
    <t>Infosys</t>
  </si>
  <si>
    <t>Tech Mahindra</t>
  </si>
  <si>
    <t>LTIMindtree</t>
  </si>
  <si>
    <t>Mphasis</t>
  </si>
  <si>
    <t>Coforge</t>
  </si>
  <si>
    <t>Cyient</t>
  </si>
  <si>
    <t>Persistent Systems</t>
  </si>
  <si>
    <t>Tata Elxsi</t>
  </si>
  <si>
    <t>Sonata Software</t>
  </si>
  <si>
    <t>HCL Technologies</t>
  </si>
  <si>
    <t>Oracle Fin.Serv.</t>
  </si>
  <si>
    <t>Hexaware Tech.</t>
  </si>
  <si>
    <t>KPIT Technologi.</t>
  </si>
  <si>
    <t>Fractal Analyt.</t>
  </si>
  <si>
    <t>Zensar Tech.</t>
  </si>
  <si>
    <t>Birlasoft Ltd</t>
  </si>
  <si>
    <t>Intellect Design</t>
  </si>
  <si>
    <t>Rategain Travel</t>
  </si>
  <si>
    <t>Newgen Software</t>
  </si>
  <si>
    <t>Tanla Platforms</t>
  </si>
  <si>
    <t>Latent View</t>
  </si>
  <si>
    <t>Happiest Minds</t>
  </si>
  <si>
    <t>C.E. Info System</t>
  </si>
  <si>
    <t>Aurionpro Sol.</t>
  </si>
  <si>
    <t>ASM Technologies</t>
  </si>
  <si>
    <t>63 Moons Tech.</t>
  </si>
  <si>
    <t>Ceinsys Tech</t>
  </si>
  <si>
    <t>Nucleus Soft.</t>
  </si>
  <si>
    <t>Saksoft</t>
  </si>
  <si>
    <t>InfoBeans Tech.</t>
  </si>
  <si>
    <t>Accelya Solution</t>
  </si>
  <si>
    <t>Ramco Systems</t>
  </si>
  <si>
    <t>Magellanic Cloud</t>
  </si>
  <si>
    <t>Quick Heal Tech</t>
  </si>
  <si>
    <t>Ksolves India</t>
  </si>
  <si>
    <t>NINtec Systems</t>
  </si>
  <si>
    <t>Mindteck (India)</t>
  </si>
  <si>
    <t>Subex</t>
  </si>
  <si>
    <t>ABM Knowledge</t>
  </si>
  <si>
    <t>IRIS Regtech Solutions</t>
  </si>
  <si>
    <t>Softtech Enginee</t>
  </si>
  <si>
    <t>XT Global Infot.</t>
  </si>
  <si>
    <t>EBITDA</t>
  </si>
  <si>
    <t>Share Holder Equity</t>
  </si>
  <si>
    <t>Cash Flow from Operating</t>
  </si>
  <si>
    <t>Cash Flow from Investing</t>
  </si>
  <si>
    <t>Cash Flow from Financial Activities</t>
  </si>
  <si>
    <t>ROE</t>
  </si>
  <si>
    <t>L&amp;T Technology</t>
  </si>
  <si>
    <t>Inventurus Knowl</t>
  </si>
  <si>
    <t>Tata Technolog.</t>
  </si>
  <si>
    <t>Affle 3i</t>
  </si>
  <si>
    <t>Sagility</t>
  </si>
  <si>
    <t>Netweb Technol.</t>
  </si>
  <si>
    <t>Black Box</t>
  </si>
  <si>
    <t>Market Cap</t>
  </si>
  <si>
    <t>Revenue</t>
  </si>
  <si>
    <t>Net Profit</t>
  </si>
  <si>
    <t>Earning Per Share</t>
  </si>
  <si>
    <t>63 MOONS TECHNOLOGIES LTD</t>
  </si>
  <si>
    <t>ABM KNOWLEDGEWARE LTD</t>
  </si>
  <si>
    <t>ACCELYA SOLUTIONS INDIA LTD</t>
  </si>
  <si>
    <t>AFFLE 3I LTD</t>
  </si>
  <si>
    <t>ASM TECHNOLOGIES LTD</t>
  </si>
  <si>
    <t>AURIONPRO SOLUTIONS LTD</t>
  </si>
  <si>
    <t>BIRLASOFT LTD</t>
  </si>
  <si>
    <t>BLACK BOX LTD</t>
  </si>
  <si>
    <t>C.E. INFO SYSTEMS LTD</t>
  </si>
  <si>
    <t>CEINSYS TECH LTD</t>
  </si>
  <si>
    <t>COFORGE LTD</t>
  </si>
  <si>
    <t>CYIENT LTD</t>
  </si>
  <si>
    <t>FRACTAL ANALYTICS LTD</t>
  </si>
  <si>
    <t>HCL TECHNOLOGIES LTD</t>
  </si>
  <si>
    <t>HAPPIEST MINDS TECHNOLOGIES LTD</t>
  </si>
  <si>
    <t>HEXAWARE TECHNOLOGIES LTD</t>
  </si>
  <si>
    <t>IRIS REGTECH SOLUTIONS LTD</t>
  </si>
  <si>
    <t>INFOBEANS TECHNOLOGIES LTD</t>
  </si>
  <si>
    <t>INFOSYS LTD</t>
  </si>
  <si>
    <t>INTELLECT DESIGN ARENA LTD</t>
  </si>
  <si>
    <t>INVENTURUS KNOWLEDGE SOLUTIONS LTD</t>
  </si>
  <si>
    <t>KPIT TECHNOLOGIES LTD</t>
  </si>
  <si>
    <t>KSOLVES INDIA LTD</t>
  </si>
  <si>
    <t>L&amp;T TECHNOLOGY SERVICES LTD</t>
  </si>
  <si>
    <t>LTIMINDTREE LTD</t>
  </si>
  <si>
    <t>LATENT VIEW ANALYTICS LTD</t>
  </si>
  <si>
    <t>MAGELLANIC CLOUD LTD</t>
  </si>
  <si>
    <t>MINDTECK (INDIA) LTD</t>
  </si>
  <si>
    <t>MPHASIS LTD</t>
  </si>
  <si>
    <t>NINTEC SYSTEMS LTD</t>
  </si>
  <si>
    <t>NETWEB TECHNOLOGIES INDIA LTD</t>
  </si>
  <si>
    <t>NEWGEN SOFTWARE TECHNOLOGIES LTD</t>
  </si>
  <si>
    <t>NUCLEUS SOFTWARE EXPORTS LTD</t>
  </si>
  <si>
    <t>ORACLE FINANCIAL SERVICES SOFTWARE LTD</t>
  </si>
  <si>
    <t>PERSISTENT SYSTEMS LTD</t>
  </si>
  <si>
    <t>QUICK HEAL TECHNOLOGIES LTD</t>
  </si>
  <si>
    <t>RAMCO SYSTEMS LTD</t>
  </si>
  <si>
    <t>RATEGAIN TRAVEL TECHNOLOGIES LTD</t>
  </si>
  <si>
    <t>SAGILITY LTD</t>
  </si>
  <si>
    <t>SAKSOFT LTD</t>
  </si>
  <si>
    <t>SOFTTECH ENGINEERS LTD</t>
  </si>
  <si>
    <t>SONATA SOFTWARE LTD</t>
  </si>
  <si>
    <t>SUBEX LTD</t>
  </si>
  <si>
    <t>TANLA PLATFORMS LTD</t>
  </si>
  <si>
    <t>TATA CONSULTANCY SERVICES LTD</t>
  </si>
  <si>
    <t>TATA ELXSI LTD</t>
  </si>
  <si>
    <t>TATA TECHNOLOGIES LTD</t>
  </si>
  <si>
    <t>TECH MAHINDRA LTD</t>
  </si>
  <si>
    <t>WIPRO LTD</t>
  </si>
  <si>
    <t>XT GLOBAL INFOTECH LTD</t>
  </si>
  <si>
    <t>ZENSAR TECHNOLOGIES LTD</t>
  </si>
  <si>
    <t>Total Cost</t>
  </si>
  <si>
    <t>Profit margin</t>
  </si>
  <si>
    <t>Total cost in Crores</t>
  </si>
  <si>
    <t>Cost Per employee</t>
  </si>
  <si>
    <t>Engineering</t>
  </si>
  <si>
    <t>Operations</t>
  </si>
  <si>
    <t>Support</t>
  </si>
  <si>
    <t>Maintanience</t>
  </si>
  <si>
    <t>Customer Service</t>
  </si>
  <si>
    <t>Research and Development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</si>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</sst>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7D36-5AA9-4706-BACB-2B8DE34E5D88}">
  <dimension ref="A1:AH69"/>
  <sheetViews>
    <sheetView tabSelected="1" topLeftCell="B1" zoomScale="70" zoomScaleNormal="70" workbookViewId="0">
      <selection activeCell="L10" sqref="L10"/>
    </sheetView>
  </sheetViews>
  <sheetFormatPr defaultRowHeight="13.5" x14ac:dyDescent="0.35"/>
  <cols>
    <col min="2" max="2" width="19.609375" bestFit="1" customWidth="1"/>
    <col min="3" max="3" width="13.94140625" bestFit="1" customWidth="1"/>
    <col min="4" max="4" width="14" style="2" bestFit="1" customWidth="1"/>
    <col min="5" max="5" width="23.1640625" customWidth="1"/>
    <col min="6" max="6" width="10.609375" bestFit="1" customWidth="1"/>
    <col min="7" max="7" width="9" bestFit="1" customWidth="1"/>
    <col min="8" max="8" width="15.33203125" bestFit="1" customWidth="1"/>
    <col min="9" max="9" width="9.33203125" bestFit="1" customWidth="1"/>
    <col min="10" max="10" width="17.109375" bestFit="1" customWidth="1"/>
    <col min="11" max="11" width="22.0546875" bestFit="1" customWidth="1"/>
    <col min="12" max="12" width="21.6640625" bestFit="1" customWidth="1"/>
    <col min="13" max="13" width="29.27734375" bestFit="1" customWidth="1"/>
    <col min="14" max="14" width="15.0546875" bestFit="1" customWidth="1"/>
    <col min="15" max="15" width="14.1640625" customWidth="1"/>
    <col min="16" max="16" width="19.5" bestFit="1" customWidth="1"/>
    <col min="17" max="17" width="16.1640625" bestFit="1" customWidth="1"/>
    <col min="18" max="26" width="18.5" bestFit="1" customWidth="1"/>
    <col min="27" max="27" width="19.21875" bestFit="1" customWidth="1"/>
    <col min="28" max="28" width="15.38671875" bestFit="1" customWidth="1"/>
  </cols>
  <sheetData>
    <row r="1" spans="1:34" x14ac:dyDescent="0.35">
      <c r="A1" t="s">
        <v>0</v>
      </c>
      <c r="B1" t="s">
        <v>1</v>
      </c>
      <c r="C1" t="s">
        <v>0</v>
      </c>
      <c r="D1" t="s">
        <v>59</v>
      </c>
      <c r="E1" t="s">
        <v>60</v>
      </c>
      <c r="F1" t="s">
        <v>61</v>
      </c>
      <c r="G1" t="s">
        <v>62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123</v>
      </c>
      <c r="T1" t="s">
        <v>119</v>
      </c>
      <c r="U1" t="s">
        <v>120</v>
      </c>
      <c r="V1" t="s">
        <v>124</v>
      </c>
      <c r="W1" t="s">
        <v>121</v>
      </c>
      <c r="X1" t="s">
        <v>122</v>
      </c>
      <c r="AB1">
        <v>0.11501694819952127</v>
      </c>
      <c r="AC1">
        <v>0.10762771198698586</v>
      </c>
      <c r="AD1">
        <v>0.10954120056210569</v>
      </c>
      <c r="AE1">
        <v>0.10928878456028296</v>
      </c>
      <c r="AF1">
        <v>0.10911583917751494</v>
      </c>
      <c r="AG1">
        <v>0.10874169204013813</v>
      </c>
      <c r="AH1">
        <v>0.11417415648447385</v>
      </c>
    </row>
    <row r="2" spans="1:34" x14ac:dyDescent="0.35">
      <c r="A2" t="s">
        <v>29</v>
      </c>
      <c r="B2" s="3">
        <v>422</v>
      </c>
      <c r="C2" s="2" t="s">
        <v>63</v>
      </c>
      <c r="D2" s="3">
        <v>2626.72</v>
      </c>
      <c r="E2" s="3">
        <v>267.34000000000003</v>
      </c>
      <c r="F2" s="3">
        <v>-33.17</v>
      </c>
      <c r="G2" s="3">
        <v>-7.1952277657266812</v>
      </c>
      <c r="H2" s="3">
        <v>-0.84999999999999787</v>
      </c>
      <c r="I2" s="3">
        <v>3414.3399999999997</v>
      </c>
      <c r="J2" s="3">
        <v>-142.78</v>
      </c>
      <c r="K2" s="3">
        <v>-47.75</v>
      </c>
      <c r="L2" s="3">
        <v>164.7</v>
      </c>
      <c r="M2" s="3">
        <v>-9.7149082985291454E-3</v>
      </c>
      <c r="N2" s="3">
        <f t="shared" ref="N2:N33" si="0">E2-F2</f>
        <v>300.51000000000005</v>
      </c>
      <c r="O2" s="4">
        <f t="shared" ref="O2:O33" si="1">F2/E2</f>
        <v>-0.12407421261315178</v>
      </c>
      <c r="P2" s="3">
        <f t="shared" ref="P2:P33" si="2">N2*10000000</f>
        <v>3005100000.0000005</v>
      </c>
      <c r="Q2" s="3">
        <f t="shared" ref="Q2:Q33" si="3">P2/B2</f>
        <v>7121090.0473933658</v>
      </c>
      <c r="R2" s="3">
        <f ca="1">P2*$AB$1*(1 + RANDBETWEEN(-10,10)/100)</f>
        <v>352550179.65506905</v>
      </c>
      <c r="S2" s="3">
        <f ca="1">P2*$AC$1*(1 + RANDBETWEEN(-10,10)/100)</f>
        <v>320197716.91917032</v>
      </c>
      <c r="T2" s="3">
        <f ca="1">P2*(1 + RANDBETWEEN(-10,10)/100)*$AD$1</f>
        <v>362100487.99010229</v>
      </c>
      <c r="U2" s="3">
        <f ca="1">P2*$AE$1*(1 + RANDBETWEEN(-10,10)/100)</f>
        <v>295581353.83389574</v>
      </c>
      <c r="V2" s="3">
        <f ca="1">P2*$AF$1*(1 + RANDBETWEEN(-10,10)/100)</f>
        <v>337741128.56172073</v>
      </c>
      <c r="W2" s="3">
        <f ca="1">P2*$AG$1*(1 + RANDBETWEEN(-10,10)/100)</f>
        <v>330047455.33731735</v>
      </c>
      <c r="X2" s="3">
        <f ca="1">P2*$AH$1*(1 + RANDBETWEEN(-10,10)/100)</f>
        <v>367122090.68709689</v>
      </c>
    </row>
    <row r="3" spans="1:34" x14ac:dyDescent="0.35">
      <c r="A3" t="s">
        <v>42</v>
      </c>
      <c r="B3" s="3">
        <v>561</v>
      </c>
      <c r="C3" s="2" t="s">
        <v>64</v>
      </c>
      <c r="D3" s="3">
        <v>494.26</v>
      </c>
      <c r="E3" s="3">
        <v>104.84</v>
      </c>
      <c r="F3" s="3">
        <v>14.39</v>
      </c>
      <c r="G3" s="3">
        <v>7.1950000000000003</v>
      </c>
      <c r="H3" s="3">
        <v>23.81</v>
      </c>
      <c r="I3" s="3">
        <v>234.58</v>
      </c>
      <c r="J3" s="3">
        <v>23.67</v>
      </c>
      <c r="K3" s="3">
        <v>-14.63</v>
      </c>
      <c r="L3" s="3">
        <v>-2.78</v>
      </c>
      <c r="M3" s="3">
        <v>6.1343678062920966E-2</v>
      </c>
      <c r="N3" s="3">
        <f t="shared" si="0"/>
        <v>90.45</v>
      </c>
      <c r="O3" s="4">
        <f t="shared" si="1"/>
        <v>0.13725677222434185</v>
      </c>
      <c r="P3" s="3">
        <f t="shared" si="2"/>
        <v>904500000</v>
      </c>
      <c r="Q3" s="3">
        <f t="shared" si="3"/>
        <v>1612299.4652406417</v>
      </c>
      <c r="R3" s="3">
        <f t="shared" ref="R3:R52" ca="1" si="4">P3*$AB$1*(1 + RANDBETWEEN(-10,10)/100)</f>
        <v>110274799.42525502</v>
      </c>
      <c r="S3" s="3">
        <f ca="1">P3*$AC$1*(1 + RANDBETWEEN(-10,10)/100)</f>
        <v>105137206.73160701</v>
      </c>
      <c r="T3" s="3">
        <f t="shared" ref="T3:T52" ca="1" si="5">P3*(1 + RANDBETWEEN(-10,10)/100)*$AD$1</f>
        <v>108988017.49926707</v>
      </c>
      <c r="U3" s="3">
        <f t="shared" ref="U3:U52" ca="1" si="6">P3*$AE$1*(1 + RANDBETWEEN(-10,10)/100)</f>
        <v>97863188.578428179</v>
      </c>
      <c r="V3" s="3">
        <f t="shared" ref="V3:V52" ca="1" si="7">P3*$AF$1*(1 + RANDBETWEEN(-10,10)/100)</f>
        <v>105603945.89358662</v>
      </c>
      <c r="W3" s="3">
        <f t="shared" ref="W3:W52" ca="1" si="8">P3*$AG$1*(1 + RANDBETWEEN(-10,10)/100)</f>
        <v>102291134.86831714</v>
      </c>
      <c r="X3" s="3">
        <f t="shared" ref="X3:X52" ca="1" si="9">P3*$AH$1*(1 + RANDBETWEEN(-10,10)/100)</f>
        <v>102237819.29480453</v>
      </c>
    </row>
    <row r="4" spans="1:34" x14ac:dyDescent="0.35">
      <c r="A4" t="s">
        <v>34</v>
      </c>
      <c r="B4" s="3">
        <v>1285</v>
      </c>
      <c r="C4" s="2" t="s">
        <v>65</v>
      </c>
      <c r="D4" s="3">
        <v>1693.75</v>
      </c>
      <c r="E4" s="3">
        <v>540.39</v>
      </c>
      <c r="F4" s="3">
        <v>129.02000000000001</v>
      </c>
      <c r="G4" s="3">
        <v>86.590604026845639</v>
      </c>
      <c r="H4" s="3">
        <v>215.92000000000002</v>
      </c>
      <c r="I4" s="3">
        <v>277.68</v>
      </c>
      <c r="J4" s="3">
        <v>144.56</v>
      </c>
      <c r="K4" s="3">
        <v>-7.79</v>
      </c>
      <c r="L4" s="3">
        <v>-146.1</v>
      </c>
      <c r="M4" s="3">
        <v>0.4646355517142034</v>
      </c>
      <c r="N4" s="3">
        <f t="shared" si="0"/>
        <v>411.37</v>
      </c>
      <c r="O4" s="4">
        <f t="shared" si="1"/>
        <v>0.23875349284775813</v>
      </c>
      <c r="P4" s="3">
        <f t="shared" si="2"/>
        <v>4113700000</v>
      </c>
      <c r="Q4" s="3">
        <f t="shared" si="3"/>
        <v>3201322.9571984434</v>
      </c>
      <c r="R4" s="3">
        <f t="shared" ca="1" si="4"/>
        <v>520459741.78920776</v>
      </c>
      <c r="S4" s="3">
        <f t="shared" ref="S4:S52" ca="1" si="10">P4*$AC$1*(1 + RANDBETWEEN(-10,10)/100)</f>
        <v>442748118.80086368</v>
      </c>
      <c r="T4" s="3">
        <f t="shared" ca="1" si="5"/>
        <v>482163011.32499754</v>
      </c>
      <c r="U4" s="3">
        <f t="shared" ca="1" si="6"/>
        <v>449581273.045636</v>
      </c>
      <c r="V4" s="3">
        <f t="shared" ca="1" si="7"/>
        <v>412960241.41457975</v>
      </c>
      <c r="W4" s="3">
        <f t="shared" ca="1" si="8"/>
        <v>411544242.66187495</v>
      </c>
      <c r="X4" s="3">
        <f t="shared" ca="1" si="9"/>
        <v>464981445.25487828</v>
      </c>
    </row>
    <row r="5" spans="1:34" x14ac:dyDescent="0.35">
      <c r="A5" t="s">
        <v>55</v>
      </c>
      <c r="B5" s="3">
        <v>618</v>
      </c>
      <c r="C5" s="2" t="s">
        <v>66</v>
      </c>
      <c r="D5" s="3">
        <v>19929.830000000002</v>
      </c>
      <c r="E5" s="3">
        <v>2360.08</v>
      </c>
      <c r="F5" s="3">
        <v>381.87</v>
      </c>
      <c r="G5" s="3">
        <v>27.179359430604983</v>
      </c>
      <c r="H5" s="3">
        <v>597.76</v>
      </c>
      <c r="I5" s="3">
        <v>2946.46</v>
      </c>
      <c r="J5" s="3">
        <v>425.99</v>
      </c>
      <c r="K5" s="3">
        <v>-91.8</v>
      </c>
      <c r="L5" s="3">
        <v>-91.81</v>
      </c>
      <c r="M5" s="3">
        <v>0.12960298120456412</v>
      </c>
      <c r="N5" s="3">
        <f t="shared" si="0"/>
        <v>1978.21</v>
      </c>
      <c r="O5" s="4">
        <f t="shared" si="1"/>
        <v>0.16180383715806246</v>
      </c>
      <c r="P5" s="3">
        <f t="shared" si="2"/>
        <v>19782100000</v>
      </c>
      <c r="Q5" s="3">
        <f t="shared" si="3"/>
        <v>32009870.550161812</v>
      </c>
      <c r="R5" s="3">
        <f t="shared" ca="1" si="4"/>
        <v>2047749093.8799748</v>
      </c>
      <c r="S5" s="3">
        <f t="shared" ca="1" si="10"/>
        <v>2150393182.9107304</v>
      </c>
      <c r="T5" s="3">
        <f t="shared" ca="1" si="5"/>
        <v>2275302732.8216124</v>
      </c>
      <c r="U5" s="3">
        <f t="shared" ca="1" si="6"/>
        <v>2378157831.5549712</v>
      </c>
      <c r="V5" s="3">
        <f t="shared" ca="1" si="7"/>
        <v>2244882059.881259</v>
      </c>
      <c r="W5" s="3">
        <f t="shared" ca="1" si="8"/>
        <v>2000559294.279711</v>
      </c>
      <c r="X5" s="3">
        <f t="shared" ca="1" si="9"/>
        <v>2461878993.280746</v>
      </c>
    </row>
    <row r="6" spans="1:34" x14ac:dyDescent="0.35">
      <c r="A6" t="s">
        <v>28</v>
      </c>
      <c r="B6" s="3">
        <v>1834</v>
      </c>
      <c r="C6" s="2" t="s">
        <v>67</v>
      </c>
      <c r="D6" s="3">
        <v>4123.6400000000003</v>
      </c>
      <c r="E6" s="3">
        <v>297.23</v>
      </c>
      <c r="F6" s="3">
        <v>26.23</v>
      </c>
      <c r="G6" s="3">
        <v>22.042016806722689</v>
      </c>
      <c r="H6" s="3">
        <v>59.760000000000005</v>
      </c>
      <c r="I6" s="3">
        <v>165.13</v>
      </c>
      <c r="J6" s="3">
        <v>-23.48</v>
      </c>
      <c r="K6" s="3">
        <v>32.700000000000003</v>
      </c>
      <c r="L6" s="3">
        <v>-9.14</v>
      </c>
      <c r="M6" s="3">
        <v>0.15884454672076548</v>
      </c>
      <c r="N6" s="3">
        <f t="shared" si="0"/>
        <v>271</v>
      </c>
      <c r="O6" s="4">
        <f t="shared" si="1"/>
        <v>8.8248157992127305E-2</v>
      </c>
      <c r="P6" s="3">
        <f t="shared" si="2"/>
        <v>2710000000</v>
      </c>
      <c r="Q6" s="3">
        <f t="shared" si="3"/>
        <v>1477644.4929116685</v>
      </c>
      <c r="R6" s="3">
        <f t="shared" ca="1" si="4"/>
        <v>336631603.99035883</v>
      </c>
      <c r="S6" s="3">
        <f t="shared" ca="1" si="10"/>
        <v>320838209.43320489</v>
      </c>
      <c r="T6" s="3">
        <f t="shared" ca="1" si="5"/>
        <v>317636619.26993787</v>
      </c>
      <c r="U6" s="3">
        <f t="shared" ca="1" si="6"/>
        <v>266555345.54253012</v>
      </c>
      <c r="V6" s="3">
        <f t="shared" ca="1" si="7"/>
        <v>289789845.68764418</v>
      </c>
      <c r="W6" s="3">
        <f t="shared" ca="1" si="8"/>
        <v>271114786.59447241</v>
      </c>
      <c r="X6" s="3">
        <f t="shared" ca="1" si="9"/>
        <v>321788442.63584113</v>
      </c>
    </row>
    <row r="7" spans="1:34" x14ac:dyDescent="0.35">
      <c r="A7" t="s">
        <v>27</v>
      </c>
      <c r="B7" s="3">
        <v>3000</v>
      </c>
      <c r="C7" s="2" t="s">
        <v>68</v>
      </c>
      <c r="D7" s="3">
        <v>4853.87</v>
      </c>
      <c r="E7" s="3">
        <v>1193.1400000000001</v>
      </c>
      <c r="F7" s="3">
        <v>186.17</v>
      </c>
      <c r="G7" s="3">
        <v>33.72644927536232</v>
      </c>
      <c r="H7" s="3">
        <v>270.89</v>
      </c>
      <c r="I7" s="3">
        <v>1503.26</v>
      </c>
      <c r="J7" s="3">
        <v>157.1</v>
      </c>
      <c r="K7" s="3">
        <v>-421.23</v>
      </c>
      <c r="L7" s="3">
        <v>283.11</v>
      </c>
      <c r="M7" s="3">
        <v>0.12384417865173024</v>
      </c>
      <c r="N7" s="3">
        <f t="shared" si="0"/>
        <v>1006.9700000000001</v>
      </c>
      <c r="O7" s="4">
        <f t="shared" si="1"/>
        <v>0.15603365908443265</v>
      </c>
      <c r="P7" s="3">
        <f t="shared" si="2"/>
        <v>10069700000.000002</v>
      </c>
      <c r="Q7" s="3">
        <f t="shared" si="3"/>
        <v>3356566.6666666674</v>
      </c>
      <c r="R7" s="3">
        <f t="shared" ca="1" si="4"/>
        <v>1204513609.8161082</v>
      </c>
      <c r="S7" s="3">
        <f t="shared" ca="1" si="10"/>
        <v>1072940983.6813982</v>
      </c>
      <c r="T7" s="3">
        <f t="shared" ca="1" si="5"/>
        <v>1147168908.3922453</v>
      </c>
      <c r="U7" s="3">
        <f t="shared" ca="1" si="6"/>
        <v>1133520432.103282</v>
      </c>
      <c r="V7" s="3">
        <f t="shared" ca="1" si="7"/>
        <v>1054813215.1351895</v>
      </c>
      <c r="W7" s="3">
        <f t="shared" ca="1" si="8"/>
        <v>996446556.86628699</v>
      </c>
      <c r="X7" s="3">
        <f t="shared" ca="1" si="9"/>
        <v>1207184478.7292919</v>
      </c>
    </row>
    <row r="8" spans="1:34" x14ac:dyDescent="0.35">
      <c r="A8" t="s">
        <v>19</v>
      </c>
      <c r="B8" s="3">
        <v>12000</v>
      </c>
      <c r="C8" s="2" t="s">
        <v>69</v>
      </c>
      <c r="D8" s="3">
        <v>10183.86</v>
      </c>
      <c r="E8" s="3">
        <v>5483.7199999999993</v>
      </c>
      <c r="F8" s="3">
        <v>516.76</v>
      </c>
      <c r="G8" s="3">
        <v>18.595178121626486</v>
      </c>
      <c r="H8" s="3">
        <v>802.94</v>
      </c>
      <c r="I8" s="3">
        <v>3478.23</v>
      </c>
      <c r="J8" s="3">
        <v>587.52</v>
      </c>
      <c r="K8" s="3">
        <v>-437.54</v>
      </c>
      <c r="L8" s="3">
        <v>-215.47</v>
      </c>
      <c r="M8" s="3">
        <v>0.14856981855713969</v>
      </c>
      <c r="N8" s="3">
        <f t="shared" si="0"/>
        <v>4966.9599999999991</v>
      </c>
      <c r="O8" s="4">
        <f t="shared" si="1"/>
        <v>9.4235300124732857E-2</v>
      </c>
      <c r="P8" s="3">
        <f t="shared" si="2"/>
        <v>49669599999.999992</v>
      </c>
      <c r="Q8" s="3">
        <f t="shared" si="3"/>
        <v>4139133.3333333326</v>
      </c>
      <c r="R8" s="3">
        <f t="shared" ca="1" si="4"/>
        <v>5598588894.0851212</v>
      </c>
      <c r="S8" s="3">
        <f t="shared" ca="1" si="10"/>
        <v>5506200165.4080563</v>
      </c>
      <c r="T8" s="3">
        <f t="shared" ca="1" si="5"/>
        <v>5386458939.2851677</v>
      </c>
      <c r="U8" s="3">
        <f t="shared" ca="1" si="6"/>
        <v>5211197005.0516119</v>
      </c>
      <c r="V8" s="3">
        <f t="shared" ca="1" si="7"/>
        <v>5419740085.611495</v>
      </c>
      <c r="W8" s="3">
        <f t="shared" ca="1" si="8"/>
        <v>4915052275.7307281</v>
      </c>
      <c r="X8" s="3">
        <f t="shared" ca="1" si="9"/>
        <v>5217305908.2875242</v>
      </c>
    </row>
    <row r="9" spans="1:34" x14ac:dyDescent="0.35">
      <c r="A9" t="s">
        <v>58</v>
      </c>
      <c r="B9" s="3">
        <v>3436</v>
      </c>
      <c r="C9" s="2" t="s">
        <v>70</v>
      </c>
      <c r="D9" s="3">
        <v>9142.02</v>
      </c>
      <c r="E9" s="3">
        <v>5898.7</v>
      </c>
      <c r="F9" s="3">
        <v>204.78</v>
      </c>
      <c r="G9" s="3">
        <v>12.09568812758417</v>
      </c>
      <c r="H9" s="3">
        <v>469.53999999999996</v>
      </c>
      <c r="I9" s="3">
        <v>758.74</v>
      </c>
      <c r="J9" s="3">
        <v>-87.61</v>
      </c>
      <c r="K9" s="3">
        <v>-104.85</v>
      </c>
      <c r="L9" s="3">
        <v>192.15</v>
      </c>
      <c r="M9" s="3">
        <v>0.26989482563196882</v>
      </c>
      <c r="N9" s="3">
        <f t="shared" si="0"/>
        <v>5693.92</v>
      </c>
      <c r="O9" s="4">
        <f t="shared" si="1"/>
        <v>3.4716123891704954E-2</v>
      </c>
      <c r="P9" s="3">
        <f t="shared" si="2"/>
        <v>56939200000</v>
      </c>
      <c r="Q9" s="3">
        <f t="shared" si="3"/>
        <v>16571362.048894063</v>
      </c>
      <c r="R9" s="3">
        <f t="shared" ca="1" si="4"/>
        <v>5894075715.2299633</v>
      </c>
      <c r="S9" s="3">
        <f t="shared" ca="1" si="10"/>
        <v>6741059400.2063236</v>
      </c>
      <c r="T9" s="3">
        <f t="shared" ca="1" si="5"/>
        <v>6860907159.7504339</v>
      </c>
      <c r="U9" s="3">
        <f t="shared" ca="1" si="6"/>
        <v>6596184919.5449562</v>
      </c>
      <c r="V9" s="3">
        <f t="shared" ca="1" si="7"/>
        <v>6088709218.2944307</v>
      </c>
      <c r="W9" s="3">
        <f t="shared" ca="1" si="8"/>
        <v>5758248404.8130045</v>
      </c>
      <c r="X9" s="3">
        <f t="shared" ca="1" si="9"/>
        <v>7086073792.6818209</v>
      </c>
    </row>
    <row r="10" spans="1:34" x14ac:dyDescent="0.35">
      <c r="A10" t="s">
        <v>26</v>
      </c>
      <c r="B10" s="3">
        <v>935</v>
      </c>
      <c r="C10" s="2" t="s">
        <v>71</v>
      </c>
      <c r="D10" s="3">
        <v>5079.7700000000004</v>
      </c>
      <c r="E10" s="3">
        <v>515.69000000000005</v>
      </c>
      <c r="F10" s="3">
        <v>147.19</v>
      </c>
      <c r="G10" s="3">
        <v>27.056985294117645</v>
      </c>
      <c r="H10" s="3">
        <v>235.01</v>
      </c>
      <c r="I10" s="3">
        <v>790.74</v>
      </c>
      <c r="J10" s="3">
        <v>113.15</v>
      </c>
      <c r="K10" s="3">
        <v>-102.02</v>
      </c>
      <c r="L10" s="3">
        <v>-17.23</v>
      </c>
      <c r="M10" s="3">
        <v>0.18614209474669297</v>
      </c>
      <c r="N10" s="3">
        <f t="shared" si="0"/>
        <v>368.50000000000006</v>
      </c>
      <c r="O10" s="4">
        <f t="shared" si="1"/>
        <v>0.28542341329093057</v>
      </c>
      <c r="P10" s="3">
        <f t="shared" si="2"/>
        <v>3685000000.0000005</v>
      </c>
      <c r="Q10" s="3">
        <f t="shared" si="3"/>
        <v>3941176.4705882357</v>
      </c>
      <c r="R10" s="3">
        <f t="shared" ca="1" si="4"/>
        <v>415360705.03293121</v>
      </c>
      <c r="S10" s="3">
        <f t="shared" ca="1" si="10"/>
        <v>368845550.36499989</v>
      </c>
      <c r="T10" s="3">
        <f t="shared" ca="1" si="5"/>
        <v>407695917.31207311</v>
      </c>
      <c r="U10" s="3">
        <f t="shared" ca="1" si="6"/>
        <v>410783754.5267356</v>
      </c>
      <c r="V10" s="3">
        <f t="shared" ca="1" si="7"/>
        <v>394050030.02175975</v>
      </c>
      <c r="W10" s="3">
        <f t="shared" ca="1" si="8"/>
        <v>404720266.51958817</v>
      </c>
      <c r="X10" s="3">
        <f t="shared" ca="1" si="9"/>
        <v>445975672.64400339</v>
      </c>
    </row>
    <row r="11" spans="1:34" x14ac:dyDescent="0.35">
      <c r="A11" t="s">
        <v>30</v>
      </c>
      <c r="B11" s="3">
        <v>2500</v>
      </c>
      <c r="C11" s="2" t="s">
        <v>72</v>
      </c>
      <c r="D11" s="3">
        <v>2322.0300000000002</v>
      </c>
      <c r="E11" s="3">
        <v>440.35</v>
      </c>
      <c r="F11" s="3">
        <v>63.24</v>
      </c>
      <c r="G11" s="3">
        <v>36.344827586206897</v>
      </c>
      <c r="H11" s="3">
        <v>105.63000000000001</v>
      </c>
      <c r="I11" s="3">
        <v>411.88</v>
      </c>
      <c r="J11" s="3">
        <v>5.68</v>
      </c>
      <c r="K11" s="3">
        <v>-52.84</v>
      </c>
      <c r="L11" s="3">
        <v>48.53</v>
      </c>
      <c r="M11" s="3">
        <v>0.15353986598038263</v>
      </c>
      <c r="N11" s="3">
        <f t="shared" si="0"/>
        <v>377.11</v>
      </c>
      <c r="O11" s="4">
        <f t="shared" si="1"/>
        <v>0.14361303508572726</v>
      </c>
      <c r="P11" s="3">
        <f t="shared" si="2"/>
        <v>3771100000</v>
      </c>
      <c r="Q11" s="3">
        <f t="shared" si="3"/>
        <v>1508440</v>
      </c>
      <c r="R11" s="3">
        <f t="shared" ca="1" si="4"/>
        <v>399041180.28679752</v>
      </c>
      <c r="S11" s="3">
        <f t="shared" ca="1" si="10"/>
        <v>422109859.26108724</v>
      </c>
      <c r="T11" s="3">
        <f t="shared" ca="1" si="5"/>
        <v>417221729.6541543</v>
      </c>
      <c r="U11" s="3">
        <f t="shared" ca="1" si="6"/>
        <v>395653378.0370717</v>
      </c>
      <c r="V11" s="3">
        <f t="shared" ca="1" si="7"/>
        <v>448520547.82333606</v>
      </c>
      <c r="W11" s="3">
        <f t="shared" ca="1" si="8"/>
        <v>430579584.59519321</v>
      </c>
      <c r="X11" s="3">
        <f t="shared" ca="1" si="9"/>
        <v>417645296.67304134</v>
      </c>
    </row>
    <row r="12" spans="1:34" x14ac:dyDescent="0.35">
      <c r="A12" t="s">
        <v>8</v>
      </c>
      <c r="B12" s="3">
        <v>350000</v>
      </c>
      <c r="C12" s="2" t="s">
        <v>73</v>
      </c>
      <c r="D12" s="3">
        <v>41346.76</v>
      </c>
      <c r="E12" s="3">
        <v>12188</v>
      </c>
      <c r="F12" s="3">
        <v>812.1</v>
      </c>
      <c r="G12" s="3">
        <v>24.285287081339714</v>
      </c>
      <c r="H12" s="3">
        <v>1906.7</v>
      </c>
      <c r="I12" s="3">
        <v>6379.2</v>
      </c>
      <c r="J12" s="3">
        <v>1237.0999999999999</v>
      </c>
      <c r="K12" s="3">
        <v>-2438.1</v>
      </c>
      <c r="L12" s="3">
        <v>1675.3</v>
      </c>
      <c r="M12" s="3">
        <v>0.1273043641835967</v>
      </c>
      <c r="N12" s="3">
        <f t="shared" si="0"/>
        <v>11375.9</v>
      </c>
      <c r="O12" s="4">
        <f t="shared" si="1"/>
        <v>6.6631112569740733E-2</v>
      </c>
      <c r="P12" s="3">
        <f t="shared" si="2"/>
        <v>113759000000</v>
      </c>
      <c r="Q12" s="3">
        <f t="shared" si="3"/>
        <v>325025.71428571426</v>
      </c>
      <c r="R12" s="3">
        <f t="shared" ca="1" si="4"/>
        <v>12299160229.615578</v>
      </c>
      <c r="S12" s="3">
        <f t="shared" ca="1" si="10"/>
        <v>12121184679.048248</v>
      </c>
      <c r="T12" s="3">
        <f t="shared" ca="1" si="5"/>
        <v>13333588255.176701</v>
      </c>
      <c r="U12" s="3">
        <f t="shared" ca="1" si="6"/>
        <v>12681234499.649096</v>
      </c>
      <c r="V12" s="3">
        <f t="shared" ca="1" si="7"/>
        <v>12785296011.464771</v>
      </c>
      <c r="W12" s="3">
        <f t="shared" ca="1" si="8"/>
        <v>12370346144.794073</v>
      </c>
      <c r="X12" s="3">
        <f t="shared" ca="1" si="9"/>
        <v>12728571110.166916</v>
      </c>
    </row>
    <row r="13" spans="1:34" x14ac:dyDescent="0.35">
      <c r="A13" t="s">
        <v>9</v>
      </c>
      <c r="B13" s="3">
        <v>12022</v>
      </c>
      <c r="C13" s="2" t="s">
        <v>74</v>
      </c>
      <c r="D13" s="3">
        <v>9994.08</v>
      </c>
      <c r="E13" s="3">
        <v>7457</v>
      </c>
      <c r="F13" s="3">
        <v>615.70000000000005</v>
      </c>
      <c r="G13" s="3">
        <v>55.468468468468473</v>
      </c>
      <c r="H13" s="3">
        <v>1213.4000000000001</v>
      </c>
      <c r="I13" s="3">
        <v>5309.5</v>
      </c>
      <c r="J13" s="3">
        <v>789.9</v>
      </c>
      <c r="K13" s="3">
        <v>-134.1</v>
      </c>
      <c r="L13" s="3">
        <v>-58.2</v>
      </c>
      <c r="M13" s="3">
        <v>0.11596195498634523</v>
      </c>
      <c r="N13" s="3">
        <f t="shared" si="0"/>
        <v>6841.3</v>
      </c>
      <c r="O13" s="4">
        <f t="shared" si="1"/>
        <v>8.2566715837468163E-2</v>
      </c>
      <c r="P13" s="3">
        <f t="shared" si="2"/>
        <v>68413000000</v>
      </c>
      <c r="Q13" s="3">
        <f t="shared" si="3"/>
        <v>5690650.4741307599</v>
      </c>
      <c r="R13" s="3">
        <f t="shared" ca="1" si="4"/>
        <v>7317848663.771678</v>
      </c>
      <c r="S13" s="3">
        <f t="shared" ca="1" si="10"/>
        <v>7068609273.759037</v>
      </c>
      <c r="T13" s="3">
        <f t="shared" ca="1" si="5"/>
        <v>7119340046.3525696</v>
      </c>
      <c r="U13" s="3">
        <f t="shared" ca="1" si="6"/>
        <v>7925380035.2099962</v>
      </c>
      <c r="V13" s="3">
        <f t="shared" ca="1" si="7"/>
        <v>6867746553.1992235</v>
      </c>
      <c r="W13" s="3">
        <f t="shared" ca="1" si="8"/>
        <v>7513738831.3173904</v>
      </c>
      <c r="X13" s="3">
        <f t="shared" ca="1" si="9"/>
        <v>8201546395.9509249</v>
      </c>
    </row>
    <row r="14" spans="1:34" x14ac:dyDescent="0.35">
      <c r="A14" t="s">
        <v>17</v>
      </c>
      <c r="B14" s="3">
        <v>5800</v>
      </c>
      <c r="C14" s="2" t="s">
        <v>75</v>
      </c>
      <c r="D14" s="3">
        <v>14615.45</v>
      </c>
      <c r="E14" s="3">
        <v>2843.2000000000003</v>
      </c>
      <c r="F14" s="3">
        <v>220.6</v>
      </c>
      <c r="G14" s="3">
        <v>65.850746268656707</v>
      </c>
      <c r="H14" s="3">
        <v>389.1</v>
      </c>
      <c r="I14" s="3">
        <v>1752.6999999999998</v>
      </c>
      <c r="J14" s="3">
        <v>397</v>
      </c>
      <c r="K14" s="3">
        <v>-190.9</v>
      </c>
      <c r="L14" s="3">
        <v>-22.4</v>
      </c>
      <c r="M14" s="3">
        <v>0.12586295429908143</v>
      </c>
      <c r="N14" s="3">
        <f t="shared" si="0"/>
        <v>2622.6000000000004</v>
      </c>
      <c r="O14" s="4">
        <f t="shared" si="1"/>
        <v>7.7588632526730442E-2</v>
      </c>
      <c r="P14" s="3">
        <f t="shared" si="2"/>
        <v>26226000000.000004</v>
      </c>
      <c r="Q14" s="3">
        <f t="shared" si="3"/>
        <v>4521724.1379310349</v>
      </c>
      <c r="R14" s="3">
        <f t="shared" ca="1" si="4"/>
        <v>2865612759.306613</v>
      </c>
      <c r="S14" s="3">
        <f t="shared" ca="1" si="10"/>
        <v>2681512155.8421569</v>
      </c>
      <c r="T14" s="3">
        <f t="shared" ca="1" si="5"/>
        <v>2987740626.9794555</v>
      </c>
      <c r="U14" s="3">
        <f t="shared" ca="1" si="6"/>
        <v>2808883510.6004214</v>
      </c>
      <c r="V14" s="3">
        <f t="shared" ca="1" si="7"/>
        <v>2804438558.3041172</v>
      </c>
      <c r="W14" s="3">
        <f t="shared" ca="1" si="8"/>
        <v>2965934000.0624495</v>
      </c>
      <c r="X14" s="3">
        <f t="shared" ca="1" si="9"/>
        <v>2694898285.1656303</v>
      </c>
    </row>
    <row r="15" spans="1:34" x14ac:dyDescent="0.35">
      <c r="A15" t="s">
        <v>25</v>
      </c>
      <c r="B15" s="3">
        <v>5098</v>
      </c>
      <c r="C15" s="2" t="s">
        <v>77</v>
      </c>
      <c r="D15" s="3">
        <v>5686.81</v>
      </c>
      <c r="E15" s="3">
        <v>2150.06</v>
      </c>
      <c r="F15" s="3">
        <v>184.66</v>
      </c>
      <c r="G15" s="3">
        <v>12.124753775443203</v>
      </c>
      <c r="H15" s="3">
        <v>444.11</v>
      </c>
      <c r="I15" s="3">
        <v>1574.58</v>
      </c>
      <c r="J15" s="3">
        <v>236.42</v>
      </c>
      <c r="K15" s="3">
        <v>-731.46</v>
      </c>
      <c r="L15" s="3">
        <v>499.46</v>
      </c>
      <c r="M15" s="3">
        <v>0.11727571796923625</v>
      </c>
      <c r="N15" s="3">
        <f t="shared" si="0"/>
        <v>1965.3999999999999</v>
      </c>
      <c r="O15" s="4">
        <f t="shared" si="1"/>
        <v>8.5885975275108606E-2</v>
      </c>
      <c r="P15" s="3">
        <f t="shared" si="2"/>
        <v>19654000000</v>
      </c>
      <c r="Q15" s="3">
        <f t="shared" si="3"/>
        <v>3855237.3479796001</v>
      </c>
      <c r="R15" s="3">
        <f t="shared" ca="1" si="4"/>
        <v>2373570254.909061</v>
      </c>
      <c r="S15" s="3">
        <f t="shared" ca="1" si="10"/>
        <v>2263387104.9896755</v>
      </c>
      <c r="T15" s="3">
        <f t="shared" ca="1" si="5"/>
        <v>2066805845.6137202</v>
      </c>
      <c r="U15" s="3">
        <f t="shared" ca="1" si="6"/>
        <v>2062043300.8778892</v>
      </c>
      <c r="V15" s="3">
        <f t="shared" ca="1" si="7"/>
        <v>2208899584.2907248</v>
      </c>
      <c r="W15" s="3">
        <f t="shared" ca="1" si="8"/>
        <v>2265441768.2782874</v>
      </c>
      <c r="X15" s="3">
        <f t="shared" ca="1" si="9"/>
        <v>2176659505.3994732</v>
      </c>
    </row>
    <row r="16" spans="1:34" x14ac:dyDescent="0.35">
      <c r="A16" t="s">
        <v>13</v>
      </c>
      <c r="B16" s="3">
        <v>22640</v>
      </c>
      <c r="C16" s="2" t="s">
        <v>76</v>
      </c>
      <c r="D16" s="3">
        <v>388107.2</v>
      </c>
      <c r="E16" s="3">
        <v>119540</v>
      </c>
      <c r="F16" s="3">
        <v>17390</v>
      </c>
      <c r="G16" s="3">
        <v>64.082249327486451</v>
      </c>
      <c r="H16" s="3">
        <v>28199</v>
      </c>
      <c r="I16" s="3">
        <v>69655</v>
      </c>
      <c r="J16" s="3">
        <v>22261</v>
      </c>
      <c r="K16" s="3">
        <v>-4896</v>
      </c>
      <c r="L16" s="3">
        <v>-18561</v>
      </c>
      <c r="M16" s="3">
        <v>0.24965903380948962</v>
      </c>
      <c r="N16" s="3">
        <f t="shared" si="0"/>
        <v>102150</v>
      </c>
      <c r="O16" s="4">
        <f t="shared" si="1"/>
        <v>0.14547431821984272</v>
      </c>
      <c r="P16" s="3">
        <f t="shared" si="2"/>
        <v>1021500000000</v>
      </c>
      <c r="Q16" s="3">
        <f t="shared" si="3"/>
        <v>45119257.950530037</v>
      </c>
      <c r="R16" s="3">
        <f t="shared" ca="1" si="4"/>
        <v>124539201340.95964</v>
      </c>
      <c r="S16" s="3">
        <f t="shared" ca="1" si="10"/>
        <v>104444622404.97075</v>
      </c>
      <c r="T16" s="3">
        <f t="shared" ca="1" si="5"/>
        <v>111896336374.19096</v>
      </c>
      <c r="U16" s="3">
        <f t="shared" ca="1" si="6"/>
        <v>113871263296.89563</v>
      </c>
      <c r="V16" s="3">
        <f t="shared" ca="1" si="7"/>
        <v>113691066314.22815</v>
      </c>
      <c r="W16" s="3">
        <f t="shared" ca="1" si="8"/>
        <v>106636452882.24106</v>
      </c>
      <c r="X16" s="3">
        <f t="shared" ca="1" si="9"/>
        <v>121294056882.84564</v>
      </c>
    </row>
    <row r="17" spans="1:24" x14ac:dyDescent="0.35">
      <c r="A17" t="s">
        <v>15</v>
      </c>
      <c r="B17" s="3">
        <v>33800</v>
      </c>
      <c r="C17" s="2" t="s">
        <v>78</v>
      </c>
      <c r="D17" s="3">
        <v>28946.75</v>
      </c>
      <c r="E17" s="3">
        <v>13707.6</v>
      </c>
      <c r="F17" s="3">
        <v>1369.2</v>
      </c>
      <c r="G17" s="3">
        <v>22.409165302782323</v>
      </c>
      <c r="H17" s="3">
        <v>2189.5</v>
      </c>
      <c r="I17" s="3">
        <v>6315.7999999999993</v>
      </c>
      <c r="J17" s="3">
        <v>1739.1</v>
      </c>
      <c r="K17" s="3">
        <v>-996.2</v>
      </c>
      <c r="L17" s="3">
        <v>-830.8</v>
      </c>
      <c r="M17" s="3">
        <v>0.21678963868393555</v>
      </c>
      <c r="N17" s="3">
        <f t="shared" si="0"/>
        <v>12338.4</v>
      </c>
      <c r="O17" s="4">
        <f t="shared" si="1"/>
        <v>9.9886194519828414E-2</v>
      </c>
      <c r="P17" s="3">
        <f t="shared" si="2"/>
        <v>123384000000</v>
      </c>
      <c r="Q17" s="3">
        <f t="shared" si="3"/>
        <v>3650414.2011834318</v>
      </c>
      <c r="R17" s="3">
        <f t="shared" ca="1" si="4"/>
        <v>15468463738.94821</v>
      </c>
      <c r="S17" s="3">
        <f t="shared" ca="1" si="10"/>
        <v>14209105248.908422</v>
      </c>
      <c r="T17" s="3">
        <f t="shared" ca="1" si="5"/>
        <v>14732038324.268785</v>
      </c>
      <c r="U17" s="3">
        <f t="shared" ca="1" si="6"/>
        <v>12945107898.418514</v>
      </c>
      <c r="V17" s="3">
        <f t="shared" ca="1" si="7"/>
        <v>14270937623.143213</v>
      </c>
      <c r="W17" s="3">
        <f t="shared" ca="1" si="8"/>
        <v>12209456286.919167</v>
      </c>
      <c r="X17" s="3">
        <f t="shared" ca="1" si="9"/>
        <v>13101155635.022697</v>
      </c>
    </row>
    <row r="18" spans="1:24" x14ac:dyDescent="0.35">
      <c r="A18" t="s">
        <v>33</v>
      </c>
      <c r="B18" s="3">
        <v>1195</v>
      </c>
      <c r="C18" s="2" t="s">
        <v>80</v>
      </c>
      <c r="D18" s="3">
        <v>1682.97</v>
      </c>
      <c r="E18" s="3">
        <v>408.2</v>
      </c>
      <c r="F18" s="3">
        <v>37.97</v>
      </c>
      <c r="G18" s="3">
        <v>3.8943589743589744</v>
      </c>
      <c r="H18" s="3">
        <v>80.290000000000006</v>
      </c>
      <c r="I18" s="3">
        <v>332.23</v>
      </c>
      <c r="J18" s="3">
        <v>50.03</v>
      </c>
      <c r="K18" s="3">
        <v>-27.33</v>
      </c>
      <c r="L18" s="3">
        <v>-13</v>
      </c>
      <c r="M18" s="3">
        <v>0.11428829425398067</v>
      </c>
      <c r="N18" s="3">
        <f t="shared" si="0"/>
        <v>370.23</v>
      </c>
      <c r="O18" s="4">
        <f t="shared" si="1"/>
        <v>9.3018128368446834E-2</v>
      </c>
      <c r="P18" s="3">
        <f t="shared" si="2"/>
        <v>3702300000</v>
      </c>
      <c r="Q18" s="3">
        <f t="shared" si="3"/>
        <v>3098158.9958158997</v>
      </c>
      <c r="R18" s="3">
        <f t="shared" ca="1" si="4"/>
        <v>391761067.53356057</v>
      </c>
      <c r="S18" s="3">
        <f t="shared" ca="1" si="10"/>
        <v>386515975.74673522</v>
      </c>
      <c r="T18" s="3">
        <f t="shared" ca="1" si="5"/>
        <v>373110035.89379716</v>
      </c>
      <c r="U18" s="3">
        <f t="shared" ca="1" si="6"/>
        <v>396527469.73598486</v>
      </c>
      <c r="V18" s="3">
        <f t="shared" ca="1" si="7"/>
        <v>412059162.81465179</v>
      </c>
      <c r="W18" s="3">
        <f t="shared" ca="1" si="8"/>
        <v>382464648.11819321</v>
      </c>
      <c r="X18" s="3">
        <f t="shared" ca="1" si="9"/>
        <v>405798700.37036884</v>
      </c>
    </row>
    <row r="19" spans="1:24" x14ac:dyDescent="0.35">
      <c r="A19" t="s">
        <v>4</v>
      </c>
      <c r="B19" s="3">
        <v>337000</v>
      </c>
      <c r="C19" s="2" t="s">
        <v>81</v>
      </c>
      <c r="D19" s="3">
        <v>518105.18</v>
      </c>
      <c r="E19" s="3">
        <v>166590</v>
      </c>
      <c r="F19" s="3">
        <v>26713</v>
      </c>
      <c r="G19" s="3">
        <v>64.317530638287636</v>
      </c>
      <c r="H19" s="3">
        <v>42763</v>
      </c>
      <c r="I19" s="3">
        <v>95818</v>
      </c>
      <c r="J19" s="3">
        <v>35694</v>
      </c>
      <c r="K19" s="3">
        <v>-1864</v>
      </c>
      <c r="L19" s="3">
        <v>-24161</v>
      </c>
      <c r="M19" s="3">
        <v>0.27878895405873633</v>
      </c>
      <c r="N19" s="3">
        <f t="shared" si="0"/>
        <v>139877</v>
      </c>
      <c r="O19" s="4">
        <f t="shared" si="1"/>
        <v>0.16035176181043279</v>
      </c>
      <c r="P19" s="3">
        <f t="shared" si="2"/>
        <v>1398770000000</v>
      </c>
      <c r="Q19" s="3">
        <f t="shared" si="3"/>
        <v>4150652.8189910981</v>
      </c>
      <c r="R19" s="3">
        <f t="shared" ca="1" si="4"/>
        <v>149620498668.73126</v>
      </c>
      <c r="S19" s="3">
        <f t="shared" ca="1" si="10"/>
        <v>155062807136.9173</v>
      </c>
      <c r="T19" s="3">
        <f t="shared" ca="1" si="5"/>
        <v>167013010170.17966</v>
      </c>
      <c r="U19" s="3">
        <f t="shared" ca="1" si="6"/>
        <v>157455969374.76862</v>
      </c>
      <c r="V19" s="3">
        <f t="shared" ca="1" si="7"/>
        <v>143470284624.35263</v>
      </c>
      <c r="W19" s="3">
        <f t="shared" ca="1" si="8"/>
        <v>150583570409.23416</v>
      </c>
      <c r="X19" s="3">
        <f t="shared" ca="1" si="9"/>
        <v>150121181773.84021</v>
      </c>
    </row>
    <row r="20" spans="1:24" x14ac:dyDescent="0.35">
      <c r="A20" t="s">
        <v>20</v>
      </c>
      <c r="B20" s="3">
        <v>5900</v>
      </c>
      <c r="C20" s="2" t="s">
        <v>82</v>
      </c>
      <c r="D20" s="3">
        <v>9137.58</v>
      </c>
      <c r="E20" s="3">
        <v>2577.0300000000002</v>
      </c>
      <c r="F20" s="3">
        <v>332.77</v>
      </c>
      <c r="G20" s="3">
        <v>23.957523398128146</v>
      </c>
      <c r="H20" s="3">
        <v>641.39</v>
      </c>
      <c r="I20" s="3">
        <v>2785.8399999999997</v>
      </c>
      <c r="J20" s="3">
        <v>431.36</v>
      </c>
      <c r="K20" s="3">
        <v>-243.96</v>
      </c>
      <c r="L20" s="3">
        <v>-63.31</v>
      </c>
      <c r="M20" s="3">
        <v>0.11945050684892169</v>
      </c>
      <c r="N20" s="3">
        <f t="shared" si="0"/>
        <v>2244.2600000000002</v>
      </c>
      <c r="O20" s="4">
        <f t="shared" si="1"/>
        <v>0.12912926896466084</v>
      </c>
      <c r="P20" s="3">
        <f t="shared" si="2"/>
        <v>22442600000.000004</v>
      </c>
      <c r="Q20" s="3">
        <f t="shared" si="3"/>
        <v>3803830.5084745768</v>
      </c>
      <c r="R20" s="3">
        <f t="shared" ca="1" si="4"/>
        <v>2787781710.595583</v>
      </c>
      <c r="S20" s="3">
        <f t="shared" ca="1" si="10"/>
        <v>2487909059.7103033</v>
      </c>
      <c r="T20" s="3">
        <f t="shared" ca="1" si="5"/>
        <v>2556724921.6445179</v>
      </c>
      <c r="U20" s="3">
        <f t="shared" ca="1" si="6"/>
        <v>2330088252.5539765</v>
      </c>
      <c r="V20" s="3">
        <f t="shared" ca="1" si="7"/>
        <v>2375377838.3555384</v>
      </c>
      <c r="W20" s="3">
        <f t="shared" ca="1" si="8"/>
        <v>2464850760.7578044</v>
      </c>
      <c r="X20" s="3">
        <f t="shared" ca="1" si="9"/>
        <v>2536741275.0752687</v>
      </c>
    </row>
    <row r="21" spans="1:24" x14ac:dyDescent="0.35">
      <c r="A21" t="s">
        <v>53</v>
      </c>
      <c r="B21" s="3">
        <v>7530</v>
      </c>
      <c r="C21" s="2" t="s">
        <v>83</v>
      </c>
      <c r="D21" s="3">
        <v>25972.09</v>
      </c>
      <c r="E21" s="3">
        <v>2702.99</v>
      </c>
      <c r="F21" s="3">
        <v>486.06</v>
      </c>
      <c r="G21" s="3">
        <v>28.325174825174827</v>
      </c>
      <c r="H21" s="3">
        <v>816.14</v>
      </c>
      <c r="I21" s="3">
        <v>1789.69</v>
      </c>
      <c r="J21" s="3">
        <v>317.89</v>
      </c>
      <c r="K21" s="3">
        <v>241.24</v>
      </c>
      <c r="L21" s="3">
        <v>-389.49</v>
      </c>
      <c r="M21" s="3">
        <v>0.2715889343964597</v>
      </c>
      <c r="N21" s="3">
        <f t="shared" si="0"/>
        <v>2216.9299999999998</v>
      </c>
      <c r="O21" s="4">
        <f t="shared" si="1"/>
        <v>0.17982308480608514</v>
      </c>
      <c r="P21" s="3">
        <f t="shared" si="2"/>
        <v>22169300000</v>
      </c>
      <c r="Q21" s="3">
        <f t="shared" si="3"/>
        <v>2944130.1460823375</v>
      </c>
      <c r="R21" s="3">
        <f t="shared" ca="1" si="4"/>
        <v>2728334395.8000226</v>
      </c>
      <c r="S21" s="3">
        <f t="shared" ca="1" si="10"/>
        <v>2481472276.7672091</v>
      </c>
      <c r="T21" s="3">
        <f t="shared" ca="1" si="5"/>
        <v>2622727876.6312089</v>
      </c>
      <c r="U21" s="3">
        <f t="shared" ca="1" si="6"/>
        <v>2325941617.4901896</v>
      </c>
      <c r="V21" s="3">
        <f t="shared" ca="1" si="7"/>
        <v>2491592426.6824245</v>
      </c>
      <c r="W21" s="3">
        <f t="shared" ca="1" si="8"/>
        <v>2507156281.0792518</v>
      </c>
      <c r="X21" s="3">
        <f t="shared" ca="1" si="9"/>
        <v>2303356625.8896337</v>
      </c>
    </row>
    <row r="22" spans="1:24" x14ac:dyDescent="0.35">
      <c r="A22" t="s">
        <v>43</v>
      </c>
      <c r="B22" s="3">
        <v>503</v>
      </c>
      <c r="C22" s="2" t="s">
        <v>79</v>
      </c>
      <c r="D22" s="3">
        <v>478.52</v>
      </c>
      <c r="E22" s="3">
        <v>128.51</v>
      </c>
      <c r="F22" s="3">
        <v>13.03</v>
      </c>
      <c r="G22" s="3">
        <v>6.3560975609756101</v>
      </c>
      <c r="H22" s="3">
        <v>21.35</v>
      </c>
      <c r="I22" s="3">
        <v>75.69</v>
      </c>
      <c r="J22" s="3">
        <v>27.78</v>
      </c>
      <c r="K22" s="3">
        <v>-26.85</v>
      </c>
      <c r="L22" s="3">
        <v>17.47</v>
      </c>
      <c r="M22" s="3">
        <v>0.17214955740520543</v>
      </c>
      <c r="N22" s="3">
        <f t="shared" si="0"/>
        <v>115.47999999999999</v>
      </c>
      <c r="O22" s="4">
        <f t="shared" si="1"/>
        <v>0.10139288771301845</v>
      </c>
      <c r="P22" s="3">
        <f t="shared" si="2"/>
        <v>1154800000</v>
      </c>
      <c r="Q22" s="3">
        <f t="shared" si="3"/>
        <v>2295825.0497017894</v>
      </c>
      <c r="R22" s="3">
        <f t="shared" ca="1" si="4"/>
        <v>122195846.0383426</v>
      </c>
      <c r="S22" s="3">
        <f t="shared" ca="1" si="10"/>
        <v>118074057.7124427</v>
      </c>
      <c r="T22" s="3">
        <f t="shared" ca="1" si="5"/>
        <v>129028141.97730204</v>
      </c>
      <c r="U22" s="3">
        <f t="shared" ca="1" si="6"/>
        <v>135041156.59892982</v>
      </c>
      <c r="V22" s="3">
        <f t="shared" ca="1" si="7"/>
        <v>117186483.10644065</v>
      </c>
      <c r="W22" s="3">
        <f t="shared" ca="1" si="8"/>
        <v>131853651.26634909</v>
      </c>
      <c r="X22" s="3">
        <f t="shared" ca="1" si="9"/>
        <v>139759214.86276662</v>
      </c>
    </row>
    <row r="23" spans="1:24" x14ac:dyDescent="0.35">
      <c r="A23" t="s">
        <v>16</v>
      </c>
      <c r="B23" s="3">
        <v>14000</v>
      </c>
      <c r="C23" s="2" t="s">
        <v>84</v>
      </c>
      <c r="D23" s="3">
        <v>19454.650000000001</v>
      </c>
      <c r="E23" s="3">
        <v>6012.47</v>
      </c>
      <c r="F23" s="3">
        <v>839.6</v>
      </c>
      <c r="G23" s="3">
        <v>30.631156512221818</v>
      </c>
      <c r="H23" s="3">
        <v>1451.45</v>
      </c>
      <c r="I23" s="3">
        <v>2912.16</v>
      </c>
      <c r="J23" s="3">
        <v>1389.53</v>
      </c>
      <c r="K23" s="3">
        <v>-627.79999999999995</v>
      </c>
      <c r="L23" s="3">
        <v>-342.44</v>
      </c>
      <c r="M23" s="3">
        <v>0.28830833470688427</v>
      </c>
      <c r="N23" s="3">
        <f t="shared" si="0"/>
        <v>5172.87</v>
      </c>
      <c r="O23" s="4">
        <f t="shared" si="1"/>
        <v>0.1396431084063621</v>
      </c>
      <c r="P23" s="3">
        <f t="shared" si="2"/>
        <v>51728700000</v>
      </c>
      <c r="Q23" s="3">
        <f t="shared" si="3"/>
        <v>3694907.1428571427</v>
      </c>
      <c r="R23" s="3">
        <f t="shared" ca="1" si="4"/>
        <v>6306657840.8282909</v>
      </c>
      <c r="S23" s="3">
        <f t="shared" ca="1" si="10"/>
        <v>5790139290.0636435</v>
      </c>
      <c r="T23" s="3">
        <f t="shared" ca="1" si="5"/>
        <v>5949745096.5928459</v>
      </c>
      <c r="U23" s="3">
        <f t="shared" ca="1" si="6"/>
        <v>5201097409.892828</v>
      </c>
      <c r="V23" s="3">
        <f t="shared" ca="1" si="7"/>
        <v>5644420510.0619173</v>
      </c>
      <c r="W23" s="3">
        <f t="shared" ca="1" si="8"/>
        <v>5175061055.8337584</v>
      </c>
      <c r="X23" s="3">
        <f t="shared" ca="1" si="9"/>
        <v>6319506336.7360907</v>
      </c>
    </row>
    <row r="24" spans="1:24" x14ac:dyDescent="0.35">
      <c r="A24" t="s">
        <v>38</v>
      </c>
      <c r="B24" s="3">
        <v>646</v>
      </c>
      <c r="C24" s="2" t="s">
        <v>85</v>
      </c>
      <c r="D24" s="3">
        <v>726.55</v>
      </c>
      <c r="E24" s="3">
        <v>137.88</v>
      </c>
      <c r="F24" s="3">
        <v>34.32</v>
      </c>
      <c r="G24" s="3">
        <v>14.481012658227847</v>
      </c>
      <c r="H24" s="3">
        <v>49.360000000000007</v>
      </c>
      <c r="I24" s="3">
        <v>20.759999999999998</v>
      </c>
      <c r="J24" s="3">
        <v>34.11</v>
      </c>
      <c r="K24" s="3">
        <v>-7.59</v>
      </c>
      <c r="L24" s="3">
        <v>-23.41</v>
      </c>
      <c r="M24" s="3">
        <v>1.6531791907514453</v>
      </c>
      <c r="N24" s="3">
        <f t="shared" si="0"/>
        <v>103.56</v>
      </c>
      <c r="O24" s="4">
        <f t="shared" si="1"/>
        <v>0.24891209747606616</v>
      </c>
      <c r="P24" s="3">
        <f t="shared" si="2"/>
        <v>1035600000</v>
      </c>
      <c r="Q24" s="3">
        <f t="shared" si="3"/>
        <v>1603095.9752321981</v>
      </c>
      <c r="R24" s="3">
        <f t="shared" ca="1" si="4"/>
        <v>127449360.16430393</v>
      </c>
      <c r="S24" s="3">
        <f t="shared" ca="1" si="10"/>
        <v>105886295.60703641</v>
      </c>
      <c r="T24" s="3">
        <f t="shared" ca="1" si="5"/>
        <v>116844093.32118015</v>
      </c>
      <c r="U24" s="3">
        <f t="shared" ca="1" si="6"/>
        <v>105256902.72028498</v>
      </c>
      <c r="V24" s="3">
        <f t="shared" ca="1" si="7"/>
        <v>118650381.2048462</v>
      </c>
      <c r="W24" s="3">
        <f t="shared" ca="1" si="8"/>
        <v>102477735.61185801</v>
      </c>
      <c r="X24" s="3">
        <f t="shared" ca="1" si="9"/>
        <v>120603531.58442754</v>
      </c>
    </row>
    <row r="25" spans="1:24" x14ac:dyDescent="0.35">
      <c r="A25" t="s">
        <v>52</v>
      </c>
      <c r="B25" s="3">
        <v>18491</v>
      </c>
      <c r="C25" s="2" t="s">
        <v>86</v>
      </c>
      <c r="D25" s="3">
        <v>35652.870000000003</v>
      </c>
      <c r="E25" s="3">
        <v>10880.1</v>
      </c>
      <c r="F25" s="3">
        <v>1266.7</v>
      </c>
      <c r="G25" s="3">
        <v>119.61284230406044</v>
      </c>
      <c r="H25" s="3">
        <v>2142.4</v>
      </c>
      <c r="I25" s="3">
        <v>6080</v>
      </c>
      <c r="J25" s="3">
        <v>1481.1</v>
      </c>
      <c r="K25" s="3">
        <v>-509.4</v>
      </c>
      <c r="L25" s="3">
        <v>-718.2</v>
      </c>
      <c r="M25" s="3">
        <v>0.20833881578947369</v>
      </c>
      <c r="N25" s="3">
        <f t="shared" si="0"/>
        <v>9613.4</v>
      </c>
      <c r="O25" s="4">
        <f t="shared" si="1"/>
        <v>0.11642356228343489</v>
      </c>
      <c r="P25" s="3">
        <f t="shared" si="2"/>
        <v>96134000000</v>
      </c>
      <c r="Q25" s="3">
        <f t="shared" si="3"/>
        <v>5198961.6570223356</v>
      </c>
      <c r="R25" s="3">
        <f t="shared" ca="1" si="4"/>
        <v>10725328119.266394</v>
      </c>
      <c r="S25" s="3">
        <f t="shared" ca="1" si="10"/>
        <v>9518947867.0243473</v>
      </c>
      <c r="T25" s="3">
        <f t="shared" ca="1" si="5"/>
        <v>10951859125.830967</v>
      </c>
      <c r="U25" s="3">
        <f t="shared" ca="1" si="6"/>
        <v>9665858573.7247829</v>
      </c>
      <c r="V25" s="3">
        <f t="shared" ca="1" si="7"/>
        <v>9860357558.4817467</v>
      </c>
      <c r="W25" s="3">
        <f t="shared" ca="1" si="8"/>
        <v>9722009655.0055733</v>
      </c>
      <c r="X25" s="3">
        <f t="shared" ca="1" si="9"/>
        <v>12073620195.42625</v>
      </c>
    </row>
    <row r="26" spans="1:24" x14ac:dyDescent="0.35">
      <c r="A26" t="s">
        <v>24</v>
      </c>
      <c r="B26" s="3">
        <v>1172</v>
      </c>
      <c r="C26" s="2" t="s">
        <v>88</v>
      </c>
      <c r="D26" s="3">
        <v>5995.71</v>
      </c>
      <c r="E26" s="3">
        <v>916.78</v>
      </c>
      <c r="F26" s="3">
        <v>174.18</v>
      </c>
      <c r="G26" s="3">
        <v>8.4348668280871681</v>
      </c>
      <c r="H26" s="3">
        <v>276.08000000000004</v>
      </c>
      <c r="I26" s="3">
        <v>1500.02</v>
      </c>
      <c r="J26" s="3">
        <v>130.47</v>
      </c>
      <c r="K26" s="3">
        <v>-221.32</v>
      </c>
      <c r="L26" s="3">
        <v>-4.58</v>
      </c>
      <c r="M26" s="3">
        <v>0.11611845175397661</v>
      </c>
      <c r="N26" s="3">
        <f t="shared" si="0"/>
        <v>742.59999999999991</v>
      </c>
      <c r="O26" s="4">
        <f t="shared" si="1"/>
        <v>0.18999105565130131</v>
      </c>
      <c r="P26" s="3">
        <f t="shared" si="2"/>
        <v>7425999999.999999</v>
      </c>
      <c r="Q26" s="3">
        <f t="shared" si="3"/>
        <v>6336177.4744027294</v>
      </c>
      <c r="R26" s="3">
        <f t="shared" ca="1" si="4"/>
        <v>888280491.62283063</v>
      </c>
      <c r="S26" s="3">
        <f t="shared" ca="1" si="10"/>
        <v>847197992.56827831</v>
      </c>
      <c r="T26" s="3">
        <f t="shared" ca="1" si="5"/>
        <v>797183896.26671278</v>
      </c>
      <c r="U26" s="3">
        <f t="shared" ca="1" si="6"/>
        <v>738536447.87164176</v>
      </c>
      <c r="V26" s="3">
        <f t="shared" ca="1" si="7"/>
        <v>745470683.99364781</v>
      </c>
      <c r="W26" s="3">
        <f t="shared" ca="1" si="8"/>
        <v>831741279.24276757</v>
      </c>
      <c r="X26" s="3">
        <f t="shared" ca="1" si="9"/>
        <v>898728723.21692491</v>
      </c>
    </row>
    <row r="27" spans="1:24" x14ac:dyDescent="0.35">
      <c r="A27" t="s">
        <v>6</v>
      </c>
      <c r="B27" s="3">
        <v>90000</v>
      </c>
      <c r="C27" s="2" t="s">
        <v>87</v>
      </c>
      <c r="D27" s="3">
        <v>132726.75</v>
      </c>
      <c r="E27" s="3">
        <v>38997.799999999996</v>
      </c>
      <c r="F27" s="3">
        <v>4598.7</v>
      </c>
      <c r="G27" s="3">
        <v>155.20418494768816</v>
      </c>
      <c r="H27" s="3">
        <v>7531.0999999999995</v>
      </c>
      <c r="I27" s="3">
        <v>22698.3</v>
      </c>
      <c r="J27" s="3">
        <v>4545.8</v>
      </c>
      <c r="K27" s="3">
        <v>-1729.1</v>
      </c>
      <c r="L27" s="3">
        <v>-2574.4</v>
      </c>
      <c r="M27" s="3">
        <v>0.20260107585149548</v>
      </c>
      <c r="N27" s="3">
        <f t="shared" si="0"/>
        <v>34399.1</v>
      </c>
      <c r="O27" s="4">
        <f t="shared" si="1"/>
        <v>0.11792203662770721</v>
      </c>
      <c r="P27" s="3">
        <f t="shared" si="2"/>
        <v>343991000000</v>
      </c>
      <c r="Q27" s="3">
        <f t="shared" si="3"/>
        <v>3822122.222222222</v>
      </c>
      <c r="R27" s="3">
        <f t="shared" ca="1" si="4"/>
        <v>40751738878.944572</v>
      </c>
      <c r="S27" s="3">
        <f t="shared" ca="1" si="10"/>
        <v>37022964274.11525</v>
      </c>
      <c r="T27" s="3">
        <f t="shared" ca="1" si="5"/>
        <v>39565246478.687263</v>
      </c>
      <c r="U27" s="3">
        <f t="shared" ca="1" si="6"/>
        <v>38346245455.469818</v>
      </c>
      <c r="V27" s="3">
        <f t="shared" ca="1" si="7"/>
        <v>39036261299.893044</v>
      </c>
      <c r="W27" s="3">
        <f t="shared" ca="1" si="8"/>
        <v>38902409922.04232</v>
      </c>
      <c r="X27" s="3">
        <f t="shared" ca="1" si="9"/>
        <v>41238626376.413177</v>
      </c>
    </row>
    <row r="28" spans="1:24" x14ac:dyDescent="0.35">
      <c r="A28" t="s">
        <v>36</v>
      </c>
      <c r="B28" s="3">
        <v>314</v>
      </c>
      <c r="C28" s="2" t="s">
        <v>89</v>
      </c>
      <c r="D28" s="3">
        <v>1539.23</v>
      </c>
      <c r="E28" s="3">
        <v>604.16000000000008</v>
      </c>
      <c r="F28" s="3">
        <v>102.69</v>
      </c>
      <c r="G28" s="3">
        <v>1.7571868583162218</v>
      </c>
      <c r="H28" s="3">
        <v>212.98</v>
      </c>
      <c r="I28" s="3">
        <v>517.47</v>
      </c>
      <c r="J28" s="3">
        <v>143.04</v>
      </c>
      <c r="K28" s="3">
        <v>-63.89</v>
      </c>
      <c r="L28" s="3">
        <v>-48.34</v>
      </c>
      <c r="M28" s="3">
        <v>0.19844628674126036</v>
      </c>
      <c r="N28" s="3">
        <f t="shared" si="0"/>
        <v>501.47000000000008</v>
      </c>
      <c r="O28" s="4">
        <f t="shared" si="1"/>
        <v>0.16997153072033896</v>
      </c>
      <c r="P28" s="3">
        <f t="shared" si="2"/>
        <v>5014700000.000001</v>
      </c>
      <c r="Q28" s="3">
        <f t="shared" si="3"/>
        <v>15970382.165605098</v>
      </c>
      <c r="R28" s="3">
        <f t="shared" ca="1" si="4"/>
        <v>559472225.43205523</v>
      </c>
      <c r="S28" s="3">
        <f t="shared" ca="1" si="10"/>
        <v>507337446.06306976</v>
      </c>
      <c r="T28" s="3">
        <f t="shared" ca="1" si="5"/>
        <v>538329933.28961563</v>
      </c>
      <c r="U28" s="3">
        <f t="shared" ca="1" si="6"/>
        <v>580933496.01051819</v>
      </c>
      <c r="V28" s="3">
        <f t="shared" ca="1" si="7"/>
        <v>569070526.67242372</v>
      </c>
      <c r="W28" s="3">
        <f t="shared" ca="1" si="8"/>
        <v>507135475.65852308</v>
      </c>
      <c r="X28" s="3">
        <f t="shared" ca="1" si="9"/>
        <v>578274633.94791806</v>
      </c>
    </row>
    <row r="29" spans="1:24" x14ac:dyDescent="0.35">
      <c r="A29" t="s">
        <v>40</v>
      </c>
      <c r="B29" s="3">
        <v>686</v>
      </c>
      <c r="C29" s="2" t="s">
        <v>90</v>
      </c>
      <c r="D29" s="3">
        <v>584.97</v>
      </c>
      <c r="E29" s="3">
        <v>430.23</v>
      </c>
      <c r="F29" s="3">
        <v>28.68</v>
      </c>
      <c r="G29" s="3">
        <v>8.9905956112852667</v>
      </c>
      <c r="H29" s="3">
        <v>41.02</v>
      </c>
      <c r="I29" s="3">
        <v>259.89</v>
      </c>
      <c r="J29" s="3">
        <v>24.13</v>
      </c>
      <c r="K29" s="3">
        <v>-5.45</v>
      </c>
      <c r="L29" s="3">
        <v>1.47</v>
      </c>
      <c r="M29" s="3">
        <v>0.11035438069952673</v>
      </c>
      <c r="N29" s="3">
        <f t="shared" si="0"/>
        <v>401.55</v>
      </c>
      <c r="O29" s="4">
        <f t="shared" si="1"/>
        <v>6.6662017990377243E-2</v>
      </c>
      <c r="P29" s="3">
        <f t="shared" si="2"/>
        <v>4015500000</v>
      </c>
      <c r="Q29" s="3">
        <f t="shared" si="3"/>
        <v>5853498.5422740523</v>
      </c>
      <c r="R29" s="3">
        <f t="shared" ca="1" si="4"/>
        <v>498798599.93479186</v>
      </c>
      <c r="S29" s="3">
        <f t="shared" ca="1" si="10"/>
        <v>393282960.51020497</v>
      </c>
      <c r="T29" s="3">
        <f t="shared" ca="1" si="5"/>
        <v>413470929.40570724</v>
      </c>
      <c r="U29" s="3">
        <f t="shared" ca="1" si="6"/>
        <v>399352694.10565281</v>
      </c>
      <c r="V29" s="3">
        <f t="shared" ca="1" si="7"/>
        <v>416246919.60644567</v>
      </c>
      <c r="W29" s="3">
        <f t="shared" ca="1" si="8"/>
        <v>480317490.82589215</v>
      </c>
      <c r="X29" s="3">
        <f t="shared" ca="1" si="9"/>
        <v>426373682.58796638</v>
      </c>
    </row>
    <row r="30" spans="1:24" x14ac:dyDescent="0.35">
      <c r="A30" t="s">
        <v>7</v>
      </c>
      <c r="B30" s="3">
        <v>30000</v>
      </c>
      <c r="C30" s="2" t="s">
        <v>91</v>
      </c>
      <c r="D30" s="3">
        <v>44140.09</v>
      </c>
      <c r="E30" s="3">
        <v>14484.99</v>
      </c>
      <c r="F30" s="3">
        <v>1702.14</v>
      </c>
      <c r="G30" s="3">
        <v>89.539189900052605</v>
      </c>
      <c r="H30" s="3">
        <v>2963.4700000000003</v>
      </c>
      <c r="I30" s="3">
        <v>9628.39</v>
      </c>
      <c r="J30" s="3">
        <v>1905.2</v>
      </c>
      <c r="K30" s="3">
        <v>31.94</v>
      </c>
      <c r="L30" s="3">
        <v>-1755.71</v>
      </c>
      <c r="M30" s="3">
        <v>0.17678344977716942</v>
      </c>
      <c r="N30" s="3">
        <f t="shared" si="0"/>
        <v>12782.85</v>
      </c>
      <c r="O30" s="4">
        <f t="shared" si="1"/>
        <v>0.11751060925827357</v>
      </c>
      <c r="P30" s="3">
        <f t="shared" si="2"/>
        <v>127828500000</v>
      </c>
      <c r="Q30" s="3">
        <f t="shared" si="3"/>
        <v>4260950</v>
      </c>
      <c r="R30" s="3">
        <f t="shared" ca="1" si="4"/>
        <v>13673272885.517929</v>
      </c>
      <c r="S30" s="3">
        <f t="shared" ca="1" si="10"/>
        <v>13207573422.459286</v>
      </c>
      <c r="T30" s="3">
        <f t="shared" ca="1" si="5"/>
        <v>13582412735.371532</v>
      </c>
      <c r="U30" s="3">
        <f t="shared" ca="1" si="6"/>
        <v>12573199257.447716</v>
      </c>
      <c r="V30" s="3">
        <f t="shared" ca="1" si="7"/>
        <v>12832264924.438732</v>
      </c>
      <c r="W30" s="3">
        <f t="shared" ca="1" si="8"/>
        <v>14873307497.619493</v>
      </c>
      <c r="X30" s="3">
        <f t="shared" ca="1" si="9"/>
        <v>15908235166.771368</v>
      </c>
    </row>
    <row r="31" spans="1:24" x14ac:dyDescent="0.35">
      <c r="A31" t="s">
        <v>57</v>
      </c>
      <c r="B31" s="3">
        <v>489</v>
      </c>
      <c r="C31" s="2" t="s">
        <v>93</v>
      </c>
      <c r="D31" s="3">
        <v>18880.09</v>
      </c>
      <c r="E31" s="3">
        <v>1158.4100000000001</v>
      </c>
      <c r="F31" s="3">
        <v>114.48</v>
      </c>
      <c r="G31" s="3">
        <v>20.19047619047619</v>
      </c>
      <c r="H31" s="3">
        <v>171.62</v>
      </c>
      <c r="I31" s="3">
        <v>530.33000000000004</v>
      </c>
      <c r="J31" s="3">
        <v>-13.21</v>
      </c>
      <c r="K31" s="3">
        <v>111.59</v>
      </c>
      <c r="L31" s="3">
        <v>-17.97</v>
      </c>
      <c r="M31" s="3">
        <v>0.2158655931212641</v>
      </c>
      <c r="N31" s="3">
        <f t="shared" si="0"/>
        <v>1043.93</v>
      </c>
      <c r="O31" s="4">
        <f t="shared" si="1"/>
        <v>9.8825113733479505E-2</v>
      </c>
      <c r="P31" s="3">
        <f t="shared" si="2"/>
        <v>10439300000</v>
      </c>
      <c r="Q31" s="3">
        <f t="shared" si="3"/>
        <v>21348261.758691207</v>
      </c>
      <c r="R31" s="3">
        <f t="shared" ca="1" si="4"/>
        <v>1224710355.8860478</v>
      </c>
      <c r="S31" s="3">
        <f t="shared" ca="1" si="10"/>
        <v>1089851234.5333691</v>
      </c>
      <c r="T31" s="3">
        <f t="shared" ca="1" si="5"/>
        <v>1052050778.6257507</v>
      </c>
      <c r="U31" s="3">
        <f t="shared" ca="1" si="6"/>
        <v>1038217551.8807474</v>
      </c>
      <c r="V31" s="3">
        <f t="shared" ca="1" si="7"/>
        <v>1127702050.1265736</v>
      </c>
      <c r="W31" s="3">
        <f t="shared" ca="1" si="8"/>
        <v>1021668431.1431526</v>
      </c>
      <c r="X31" s="3">
        <f t="shared" ca="1" si="9"/>
        <v>1239574202.6599026</v>
      </c>
    </row>
    <row r="32" spans="1:24" x14ac:dyDescent="0.35">
      <c r="A32" t="s">
        <v>22</v>
      </c>
      <c r="B32" s="3">
        <v>4457</v>
      </c>
      <c r="C32" s="2" t="s">
        <v>94</v>
      </c>
      <c r="D32" s="3">
        <v>6304.1</v>
      </c>
      <c r="E32" s="3">
        <v>1550.46</v>
      </c>
      <c r="F32" s="3">
        <v>315.24</v>
      </c>
      <c r="G32" s="3">
        <v>22.262711864406779</v>
      </c>
      <c r="H32" s="3">
        <v>442.61</v>
      </c>
      <c r="I32" s="3">
        <v>1516.43</v>
      </c>
      <c r="J32" s="3">
        <v>214.98</v>
      </c>
      <c r="K32" s="3">
        <v>-167.69</v>
      </c>
      <c r="L32" s="3">
        <v>-68.09</v>
      </c>
      <c r="M32" s="3">
        <v>0.20788298833444338</v>
      </c>
      <c r="N32" s="3">
        <f t="shared" si="0"/>
        <v>1235.22</v>
      </c>
      <c r="O32" s="4">
        <f t="shared" si="1"/>
        <v>0.20332030494175923</v>
      </c>
      <c r="P32" s="3">
        <f t="shared" si="2"/>
        <v>12352200000</v>
      </c>
      <c r="Q32" s="3">
        <f t="shared" si="3"/>
        <v>2771415.7505048239</v>
      </c>
      <c r="R32" s="3">
        <f t="shared" ca="1" si="4"/>
        <v>1307055359.7461164</v>
      </c>
      <c r="S32" s="3">
        <f t="shared" ca="1" si="10"/>
        <v>1196495121.605082</v>
      </c>
      <c r="T32" s="3">
        <f t="shared" ca="1" si="5"/>
        <v>1339544069.4074094</v>
      </c>
      <c r="U32" s="3">
        <f t="shared" ca="1" si="6"/>
        <v>1214961232.1809745</v>
      </c>
      <c r="V32" s="3">
        <f t="shared" ca="1" si="7"/>
        <v>1253473221.8803048</v>
      </c>
      <c r="W32" s="3">
        <f t="shared" ca="1" si="8"/>
        <v>1410359084.8391042</v>
      </c>
      <c r="X32" s="3">
        <f t="shared" ca="1" si="9"/>
        <v>1537229197.1429946</v>
      </c>
    </row>
    <row r="33" spans="1:24" x14ac:dyDescent="0.35">
      <c r="A33" t="s">
        <v>39</v>
      </c>
      <c r="B33" s="3">
        <v>450</v>
      </c>
      <c r="C33" s="2" t="s">
        <v>92</v>
      </c>
      <c r="D33" s="3">
        <v>761.41</v>
      </c>
      <c r="E33" s="3">
        <v>144.26000000000002</v>
      </c>
      <c r="F33" s="3">
        <v>26.32</v>
      </c>
      <c r="G33" s="3">
        <v>14.150537634408602</v>
      </c>
      <c r="H33" s="3">
        <v>37.81</v>
      </c>
      <c r="I33" s="3">
        <v>61.35</v>
      </c>
      <c r="J33" s="3">
        <v>23.73</v>
      </c>
      <c r="K33" s="3">
        <v>-6.14</v>
      </c>
      <c r="L33" s="3">
        <v>-0.49</v>
      </c>
      <c r="M33" s="3">
        <v>0.42901385493072536</v>
      </c>
      <c r="N33" s="3">
        <f t="shared" si="0"/>
        <v>117.94000000000003</v>
      </c>
      <c r="O33" s="4">
        <f t="shared" si="1"/>
        <v>0.18244835713295438</v>
      </c>
      <c r="P33" s="3">
        <f t="shared" si="2"/>
        <v>1179400000.0000002</v>
      </c>
      <c r="Q33" s="3">
        <f t="shared" si="3"/>
        <v>2620888.8888888895</v>
      </c>
      <c r="R33" s="3">
        <f t="shared" ca="1" si="4"/>
        <v>141077028.25477603</v>
      </c>
      <c r="S33" s="3">
        <f t="shared" ca="1" si="10"/>
        <v>125666762.28227663</v>
      </c>
      <c r="T33" s="3">
        <f t="shared" ca="1" si="5"/>
        <v>116273602.74865273</v>
      </c>
      <c r="U33" s="3">
        <f t="shared" ca="1" si="6"/>
        <v>134051000.21081366</v>
      </c>
      <c r="V33" s="3">
        <f t="shared" ca="1" si="7"/>
        <v>123543571.89692269</v>
      </c>
      <c r="W33" s="3">
        <f t="shared" ca="1" si="8"/>
        <v>139792447.23543143</v>
      </c>
      <c r="X33" s="3">
        <f t="shared" ca="1" si="9"/>
        <v>148122700.17356735</v>
      </c>
    </row>
    <row r="34" spans="1:24" x14ac:dyDescent="0.35">
      <c r="A34" t="s">
        <v>31</v>
      </c>
      <c r="B34" s="3">
        <v>1868</v>
      </c>
      <c r="C34" s="2" t="s">
        <v>95</v>
      </c>
      <c r="D34" s="3">
        <v>2091.7399999999998</v>
      </c>
      <c r="E34" s="3">
        <v>898.51</v>
      </c>
      <c r="F34" s="3">
        <v>163</v>
      </c>
      <c r="G34" s="3">
        <v>61.977186311787072</v>
      </c>
      <c r="H34" s="3">
        <v>234.77</v>
      </c>
      <c r="I34" s="3">
        <v>814.22</v>
      </c>
      <c r="J34" s="3">
        <v>150.94</v>
      </c>
      <c r="K34" s="3">
        <v>-20.48</v>
      </c>
      <c r="L34" s="3">
        <v>-125.8</v>
      </c>
      <c r="M34" s="3">
        <v>0.20019159440937337</v>
      </c>
      <c r="N34" s="3">
        <f t="shared" ref="N34:N52" si="11">E34-F34</f>
        <v>735.51</v>
      </c>
      <c r="O34" s="4">
        <f t="shared" ref="O34:O52" si="12">F34/E34</f>
        <v>0.18141144784142638</v>
      </c>
      <c r="P34" s="3">
        <f t="shared" ref="P34:P52" si="13">N34*10000000</f>
        <v>7355100000</v>
      </c>
      <c r="Q34" s="3">
        <f t="shared" ref="Q34:Q65" si="14">P34/B34</f>
        <v>3937419.7002141327</v>
      </c>
      <c r="R34" s="3">
        <f t="shared" ca="1" si="4"/>
        <v>896718825.04443681</v>
      </c>
      <c r="S34" s="3">
        <f t="shared" ca="1" si="10"/>
        <v>752031955.21370566</v>
      </c>
      <c r="T34" s="3">
        <f t="shared" ca="1" si="5"/>
        <v>789572754.56925666</v>
      </c>
      <c r="U34" s="3">
        <f t="shared" ca="1" si="6"/>
        <v>811868238.71253061</v>
      </c>
      <c r="V34" s="3">
        <f t="shared" ca="1" si="7"/>
        <v>762430013.29781306</v>
      </c>
      <c r="W34" s="3">
        <f t="shared" ca="1" si="8"/>
        <v>759815718.16819894</v>
      </c>
      <c r="X34" s="3">
        <f t="shared" ca="1" si="9"/>
        <v>780978974.67382681</v>
      </c>
    </row>
    <row r="35" spans="1:24" x14ac:dyDescent="0.35">
      <c r="A35" t="s">
        <v>14</v>
      </c>
      <c r="B35" s="3">
        <v>8887</v>
      </c>
      <c r="C35" s="2" t="s">
        <v>96</v>
      </c>
      <c r="D35" s="3">
        <v>62212.53</v>
      </c>
      <c r="E35" s="3">
        <v>7151</v>
      </c>
      <c r="F35" s="3">
        <v>2379.6</v>
      </c>
      <c r="G35" s="3">
        <v>273.83199079401612</v>
      </c>
      <c r="H35" s="3">
        <v>3378.2999999999997</v>
      </c>
      <c r="I35" s="3">
        <v>8362.4</v>
      </c>
      <c r="J35" s="3">
        <v>2198.9</v>
      </c>
      <c r="K35" s="3">
        <v>-2371.9</v>
      </c>
      <c r="L35" s="3">
        <v>-2096.1</v>
      </c>
      <c r="M35" s="3">
        <v>0.28455945661532572</v>
      </c>
      <c r="N35" s="3">
        <f t="shared" si="11"/>
        <v>4771.3999999999996</v>
      </c>
      <c r="O35" s="4">
        <f t="shared" si="12"/>
        <v>0.33276464830093694</v>
      </c>
      <c r="P35" s="3">
        <f t="shared" si="13"/>
        <v>47714000000</v>
      </c>
      <c r="Q35" s="3">
        <f t="shared" si="14"/>
        <v>5368965.9052548669</v>
      </c>
      <c r="R35" s="3">
        <f t="shared" ca="1" si="4"/>
        <v>5981831346.3672352</v>
      </c>
      <c r="S35" s="3">
        <f t="shared" ca="1" si="10"/>
        <v>4775874244.2647495</v>
      </c>
      <c r="T35" s="3">
        <f t="shared" ca="1" si="5"/>
        <v>4860783424.5668888</v>
      </c>
      <c r="U35" s="3">
        <f t="shared" ca="1" si="6"/>
        <v>5475335319.8348083</v>
      </c>
      <c r="V35" s="3">
        <f t="shared" ca="1" si="7"/>
        <v>5570797871.0520649</v>
      </c>
      <c r="W35" s="3">
        <f t="shared" ca="1" si="8"/>
        <v>4877191028.3629618</v>
      </c>
      <c r="X35" s="3">
        <f t="shared" ca="1" si="9"/>
        <v>5611136873.5751905</v>
      </c>
    </row>
    <row r="36" spans="1:24" x14ac:dyDescent="0.35">
      <c r="A36" t="s">
        <v>10</v>
      </c>
      <c r="B36" s="3">
        <v>24000</v>
      </c>
      <c r="C36" s="2" t="s">
        <v>97</v>
      </c>
      <c r="D36" s="3">
        <v>84738.29</v>
      </c>
      <c r="E36" s="3">
        <v>12076.869999999999</v>
      </c>
      <c r="F36" s="3">
        <v>1400.16</v>
      </c>
      <c r="G36" s="3">
        <v>90.566623544631312</v>
      </c>
      <c r="H36" s="3">
        <v>2262.9499999999998</v>
      </c>
      <c r="I36" s="3">
        <v>6319.0700000000006</v>
      </c>
      <c r="J36" s="3">
        <v>1156.92</v>
      </c>
      <c r="K36" s="3">
        <v>-516.83000000000004</v>
      </c>
      <c r="L36" s="3">
        <v>-628.20000000000005</v>
      </c>
      <c r="M36" s="3">
        <v>0.22157690926038165</v>
      </c>
      <c r="N36" s="3">
        <f t="shared" si="11"/>
        <v>10676.71</v>
      </c>
      <c r="O36" s="4">
        <f t="shared" si="12"/>
        <v>0.11593732482008999</v>
      </c>
      <c r="P36" s="3">
        <f t="shared" si="13"/>
        <v>106767099999.99998</v>
      </c>
      <c r="Q36" s="3">
        <f t="shared" si="14"/>
        <v>4448629.166666666</v>
      </c>
      <c r="R36" s="3">
        <f t="shared" ca="1" si="4"/>
        <v>12280026010.113106</v>
      </c>
      <c r="S36" s="3">
        <f t="shared" ca="1" si="10"/>
        <v>12065653622.910002</v>
      </c>
      <c r="T36" s="3">
        <f t="shared" ca="1" si="5"/>
        <v>12747981982.842487</v>
      </c>
      <c r="U36" s="3">
        <f t="shared" ca="1" si="6"/>
        <v>10618286396.923828</v>
      </c>
      <c r="V36" s="3">
        <f t="shared" ca="1" si="7"/>
        <v>12115980981.57164</v>
      </c>
      <c r="W36" s="3">
        <f t="shared" ca="1" si="8"/>
        <v>11726135459.300816</v>
      </c>
      <c r="X36" s="3">
        <f t="shared" ca="1" si="9"/>
        <v>12921446197.761076</v>
      </c>
    </row>
    <row r="37" spans="1:24" x14ac:dyDescent="0.35">
      <c r="A37" t="s">
        <v>37</v>
      </c>
      <c r="B37" s="3">
        <v>973</v>
      </c>
      <c r="C37" s="2" t="s">
        <v>98</v>
      </c>
      <c r="D37" s="3">
        <v>885.29</v>
      </c>
      <c r="E37" s="3">
        <v>300.29999999999995</v>
      </c>
      <c r="F37" s="3">
        <v>5.04</v>
      </c>
      <c r="G37" s="3">
        <v>0.93333333333333324</v>
      </c>
      <c r="H37" s="3">
        <v>14.68</v>
      </c>
      <c r="I37" s="3">
        <v>441.48</v>
      </c>
      <c r="J37" s="3">
        <v>-22.3</v>
      </c>
      <c r="K37" s="3">
        <v>15.95</v>
      </c>
      <c r="L37" s="3">
        <v>-10.32</v>
      </c>
      <c r="M37" s="3">
        <v>1.1416145691764065E-2</v>
      </c>
      <c r="N37" s="3">
        <f t="shared" si="11"/>
        <v>295.25999999999993</v>
      </c>
      <c r="O37" s="4">
        <f t="shared" si="12"/>
        <v>1.6783216783216787E-2</v>
      </c>
      <c r="P37" s="3">
        <f t="shared" si="13"/>
        <v>2952599999.9999995</v>
      </c>
      <c r="Q37" s="3">
        <f t="shared" si="14"/>
        <v>3034532.3741007191</v>
      </c>
      <c r="R37" s="3">
        <f t="shared" ca="1" si="4"/>
        <v>359974983.72914082</v>
      </c>
      <c r="S37" s="3">
        <f t="shared" ca="1" si="10"/>
        <v>346381924.82992411</v>
      </c>
      <c r="T37" s="3">
        <f t="shared" ca="1" si="5"/>
        <v>307259781.34068954</v>
      </c>
      <c r="U37" s="3">
        <f t="shared" ca="1" si="6"/>
        <v>316232343.98683757</v>
      </c>
      <c r="V37" s="3">
        <f t="shared" ca="1" si="7"/>
        <v>328618935.29064113</v>
      </c>
      <c r="W37" s="3">
        <f t="shared" ca="1" si="8"/>
        <v>298595769.52347195</v>
      </c>
      <c r="X37" s="3">
        <f t="shared" ca="1" si="9"/>
        <v>303399552.99245173</v>
      </c>
    </row>
    <row r="38" spans="1:24" x14ac:dyDescent="0.35">
      <c r="A38" t="s">
        <v>35</v>
      </c>
      <c r="B38" s="3">
        <v>1668</v>
      </c>
      <c r="C38" s="2" t="s">
        <v>99</v>
      </c>
      <c r="D38" s="3">
        <v>1590.57</v>
      </c>
      <c r="E38" s="3">
        <v>596.57000000000005</v>
      </c>
      <c r="F38" s="3">
        <v>-34.25</v>
      </c>
      <c r="G38" s="3">
        <v>-9.1823056300268089</v>
      </c>
      <c r="H38" s="3">
        <v>83.2</v>
      </c>
      <c r="I38" s="3">
        <v>315.77999999999997</v>
      </c>
      <c r="J38" s="3">
        <v>113.35</v>
      </c>
      <c r="K38" s="3">
        <v>-109.39</v>
      </c>
      <c r="L38" s="3">
        <v>13.41</v>
      </c>
      <c r="M38" s="3">
        <v>-0.10846158718094877</v>
      </c>
      <c r="N38" s="3">
        <f t="shared" si="11"/>
        <v>630.82000000000005</v>
      </c>
      <c r="O38" s="4">
        <f t="shared" si="12"/>
        <v>-5.7411535947164617E-2</v>
      </c>
      <c r="P38" s="3">
        <f t="shared" si="13"/>
        <v>6308200000.000001</v>
      </c>
      <c r="Q38" s="3">
        <f t="shared" si="14"/>
        <v>3781894.4844124704</v>
      </c>
      <c r="R38" s="3">
        <f t="shared" ca="1" si="4"/>
        <v>776338406.51647556</v>
      </c>
      <c r="S38" s="3">
        <f t="shared" ca="1" si="10"/>
        <v>651779647.44605207</v>
      </c>
      <c r="T38" s="3">
        <f t="shared" ca="1" si="5"/>
        <v>732468269.46902776</v>
      </c>
      <c r="U38" s="3">
        <f t="shared" ca="1" si="6"/>
        <v>723886286.30133593</v>
      </c>
      <c r="V38" s="3">
        <f t="shared" ca="1" si="7"/>
        <v>743390499.6355679</v>
      </c>
      <c r="W38" s="3">
        <f t="shared" ca="1" si="8"/>
        <v>679104698.31032348</v>
      </c>
      <c r="X38" s="3">
        <f t="shared" ca="1" si="9"/>
        <v>727435748.07471168</v>
      </c>
    </row>
    <row r="39" spans="1:24" x14ac:dyDescent="0.35">
      <c r="A39" t="s">
        <v>21</v>
      </c>
      <c r="B39" s="3">
        <v>690</v>
      </c>
      <c r="C39" s="2" t="s">
        <v>100</v>
      </c>
      <c r="D39" s="3">
        <v>6597.21</v>
      </c>
      <c r="E39" s="3">
        <v>1153.04</v>
      </c>
      <c r="F39" s="3">
        <v>208.93</v>
      </c>
      <c r="G39" s="3">
        <v>17.690939881456394</v>
      </c>
      <c r="H39" s="3">
        <v>329.34000000000003</v>
      </c>
      <c r="I39" s="3">
        <v>1682.6699999999998</v>
      </c>
      <c r="J39" s="3">
        <v>119.97</v>
      </c>
      <c r="K39" s="3">
        <v>-38.380000000000003</v>
      </c>
      <c r="L39" s="3">
        <v>-1.74</v>
      </c>
      <c r="M39" s="3">
        <v>0.12416576036893748</v>
      </c>
      <c r="N39" s="3">
        <f t="shared" si="11"/>
        <v>944.1099999999999</v>
      </c>
      <c r="O39" s="4">
        <f t="shared" si="12"/>
        <v>0.18119926455283425</v>
      </c>
      <c r="P39" s="3">
        <f t="shared" si="13"/>
        <v>9441099999.9999981</v>
      </c>
      <c r="Q39" s="3">
        <f t="shared" si="14"/>
        <v>13682753.623188403</v>
      </c>
      <c r="R39" s="3">
        <f t="shared" ca="1" si="4"/>
        <v>1042451049.26064</v>
      </c>
      <c r="S39" s="3">
        <f t="shared" ca="1" si="10"/>
        <v>1117736390.8043652</v>
      </c>
      <c r="T39" s="3">
        <f t="shared" ca="1" si="5"/>
        <v>1003163745.7680889</v>
      </c>
      <c r="U39" s="3">
        <f t="shared" ca="1" si="6"/>
        <v>1124668914.8641751</v>
      </c>
      <c r="V39" s="3">
        <f t="shared" ca="1" si="7"/>
        <v>1091983962.2143662</v>
      </c>
      <c r="W39" s="3">
        <f t="shared" ca="1" si="8"/>
        <v>1098506071.9305582</v>
      </c>
      <c r="X39" s="3">
        <f t="shared" ca="1" si="9"/>
        <v>1002474554.7705761</v>
      </c>
    </row>
    <row r="40" spans="1:24" x14ac:dyDescent="0.35">
      <c r="A40" t="s">
        <v>56</v>
      </c>
      <c r="B40" s="3">
        <v>17187</v>
      </c>
      <c r="C40" s="2" t="s">
        <v>101</v>
      </c>
      <c r="D40" s="3">
        <v>19652.2</v>
      </c>
      <c r="E40" s="3">
        <v>5617.12</v>
      </c>
      <c r="F40" s="3">
        <v>539.12</v>
      </c>
      <c r="G40" s="3">
        <v>1.1516459103240553</v>
      </c>
      <c r="H40" s="3">
        <v>1364.89</v>
      </c>
      <c r="I40" s="3">
        <v>8336.0500000000011</v>
      </c>
      <c r="J40" s="3">
        <v>1214.07</v>
      </c>
      <c r="K40" s="3">
        <v>-958.37</v>
      </c>
      <c r="L40" s="3">
        <v>-256.07</v>
      </c>
      <c r="M40" s="3">
        <v>6.4673316498821382E-2</v>
      </c>
      <c r="N40" s="3">
        <f t="shared" si="11"/>
        <v>5078</v>
      </c>
      <c r="O40" s="4">
        <f t="shared" si="12"/>
        <v>9.5978010083459145E-2</v>
      </c>
      <c r="P40" s="3">
        <f t="shared" si="13"/>
        <v>50780000000</v>
      </c>
      <c r="Q40" s="3">
        <f t="shared" si="14"/>
        <v>2954558.6780706346</v>
      </c>
      <c r="R40" s="3">
        <f t="shared" ca="1" si="4"/>
        <v>6132588661.0502739</v>
      </c>
      <c r="S40" s="3">
        <f t="shared" ca="1" si="10"/>
        <v>5629295271.1401157</v>
      </c>
      <c r="T40" s="3">
        <f t="shared" ca="1" si="5"/>
        <v>5451252121.2528524</v>
      </c>
      <c r="U40" s="3">
        <f t="shared" ca="1" si="6"/>
        <v>5438690790.3717451</v>
      </c>
      <c r="V40" s="3">
        <f t="shared" ca="1" si="7"/>
        <v>4986812082.0907879</v>
      </c>
      <c r="W40" s="3">
        <f t="shared" ca="1" si="8"/>
        <v>5687560215.4521608</v>
      </c>
      <c r="X40" s="3">
        <f t="shared" ca="1" si="9"/>
        <v>5449897846.3046865</v>
      </c>
    </row>
    <row r="41" spans="1:24" x14ac:dyDescent="0.35">
      <c r="A41" t="s">
        <v>32</v>
      </c>
      <c r="B41" s="3">
        <v>2278</v>
      </c>
      <c r="C41" s="2" t="s">
        <v>102</v>
      </c>
      <c r="D41" s="3">
        <v>1787.98</v>
      </c>
      <c r="E41" s="3">
        <v>899.84</v>
      </c>
      <c r="F41" s="3">
        <v>108.8</v>
      </c>
      <c r="G41" s="3">
        <v>8.2051282051282044</v>
      </c>
      <c r="H41" s="3">
        <v>163.86999999999998</v>
      </c>
      <c r="I41" s="3">
        <v>619.1</v>
      </c>
      <c r="J41" s="3">
        <v>111</v>
      </c>
      <c r="K41" s="3">
        <v>-105.76</v>
      </c>
      <c r="L41" s="3">
        <v>21.24</v>
      </c>
      <c r="M41" s="3">
        <v>0.17573897593280569</v>
      </c>
      <c r="N41" s="3">
        <f t="shared" si="11"/>
        <v>791.04000000000008</v>
      </c>
      <c r="O41" s="4">
        <f t="shared" si="12"/>
        <v>0.1209103840682788</v>
      </c>
      <c r="P41" s="3">
        <f t="shared" si="13"/>
        <v>7910400000.000001</v>
      </c>
      <c r="Q41" s="3">
        <f t="shared" si="14"/>
        <v>3472519.7541703251</v>
      </c>
      <c r="R41" s="3">
        <f t="shared" ca="1" si="4"/>
        <v>864338563.6856184</v>
      </c>
      <c r="S41" s="3">
        <f t="shared" ca="1" si="10"/>
        <v>902460948.07596421</v>
      </c>
      <c r="T41" s="3">
        <f t="shared" ca="1" si="5"/>
        <v>831854124.40942168</v>
      </c>
      <c r="U41" s="3">
        <f t="shared" ca="1" si="6"/>
        <v>855872821.37180579</v>
      </c>
      <c r="V41" s="3">
        <f t="shared" ca="1" si="7"/>
        <v>940833428.31049764</v>
      </c>
      <c r="W41" s="3">
        <f t="shared" ca="1" si="8"/>
        <v>868792183.52145183</v>
      </c>
      <c r="X41" s="3">
        <f t="shared" ca="1" si="9"/>
        <v>885099982.5056864</v>
      </c>
    </row>
    <row r="42" spans="1:24" x14ac:dyDescent="0.35">
      <c r="A42" t="s">
        <v>44</v>
      </c>
      <c r="B42" s="3">
        <v>406</v>
      </c>
      <c r="C42" s="2" t="s">
        <v>103</v>
      </c>
      <c r="D42" s="3">
        <v>418.1</v>
      </c>
      <c r="E42" s="3">
        <v>97.49</v>
      </c>
      <c r="F42" s="3">
        <v>1.31</v>
      </c>
      <c r="G42" s="3">
        <v>0.94927536231884069</v>
      </c>
      <c r="H42" s="3">
        <v>29.669999999999998</v>
      </c>
      <c r="I42" s="3">
        <v>168.77</v>
      </c>
      <c r="J42" s="3">
        <v>27.96</v>
      </c>
      <c r="K42" s="3">
        <v>-64.03</v>
      </c>
      <c r="L42" s="3">
        <v>37.25</v>
      </c>
      <c r="M42" s="3">
        <v>7.7620430171238966E-3</v>
      </c>
      <c r="N42" s="3">
        <f t="shared" si="11"/>
        <v>96.179999999999993</v>
      </c>
      <c r="O42" s="4">
        <f t="shared" si="12"/>
        <v>1.3437275618012105E-2</v>
      </c>
      <c r="P42" s="3">
        <f t="shared" si="13"/>
        <v>961799999.99999988</v>
      </c>
      <c r="Q42" s="3">
        <f t="shared" si="14"/>
        <v>2368965.5172413792</v>
      </c>
      <c r="R42" s="3">
        <f t="shared" ca="1" si="4"/>
        <v>100667203.70825258</v>
      </c>
      <c r="S42" s="3">
        <f t="shared" ca="1" si="10"/>
        <v>104551496.72297381</v>
      </c>
      <c r="T42" s="3">
        <f t="shared" ca="1" si="5"/>
        <v>105356726.70063324</v>
      </c>
      <c r="U42" s="3">
        <f t="shared" ca="1" si="6"/>
        <v>101960534.40037772</v>
      </c>
      <c r="V42" s="3">
        <f t="shared" ca="1" si="7"/>
        <v>99700233.41488716</v>
      </c>
      <c r="W42" s="3">
        <f t="shared" ca="1" si="8"/>
        <v>108771269.78037304</v>
      </c>
      <c r="X42" s="3">
        <f t="shared" ca="1" si="9"/>
        <v>102125814.44729324</v>
      </c>
    </row>
    <row r="43" spans="1:24" x14ac:dyDescent="0.35">
      <c r="A43" t="s">
        <v>12</v>
      </c>
      <c r="B43" s="3">
        <v>6873</v>
      </c>
      <c r="C43" s="2" t="s">
        <v>104</v>
      </c>
      <c r="D43" s="3">
        <v>6806.48</v>
      </c>
      <c r="E43" s="3">
        <v>10228.01</v>
      </c>
      <c r="F43" s="3">
        <v>424.67</v>
      </c>
      <c r="G43" s="3">
        <v>15.145149786019973</v>
      </c>
      <c r="H43" s="3">
        <v>740.82</v>
      </c>
      <c r="I43" s="3">
        <v>1705.94</v>
      </c>
      <c r="J43" s="3">
        <v>644.33000000000004</v>
      </c>
      <c r="K43" s="3">
        <v>-437.07</v>
      </c>
      <c r="L43" s="3">
        <v>-433.3</v>
      </c>
      <c r="M43" s="3">
        <v>0.24893607043624044</v>
      </c>
      <c r="N43" s="3">
        <f t="shared" si="11"/>
        <v>9803.34</v>
      </c>
      <c r="O43" s="4">
        <f t="shared" si="12"/>
        <v>4.1520295736902878E-2</v>
      </c>
      <c r="P43" s="3">
        <f t="shared" si="13"/>
        <v>98033400000</v>
      </c>
      <c r="Q43" s="3">
        <f t="shared" si="14"/>
        <v>14263553.033609778</v>
      </c>
      <c r="R43" s="3">
        <f t="shared" ca="1" si="4"/>
        <v>12177542688.792784</v>
      </c>
      <c r="S43" s="3">
        <f t="shared" ca="1" si="10"/>
        <v>10867643856.51413</v>
      </c>
      <c r="T43" s="3">
        <f t="shared" ca="1" si="5"/>
        <v>10523922404.561428</v>
      </c>
      <c r="U43" s="3">
        <f t="shared" ca="1" si="6"/>
        <v>10392532598.342682</v>
      </c>
      <c r="V43" s="3">
        <f t="shared" ca="1" si="7"/>
        <v>11124876576.761993</v>
      </c>
      <c r="W43" s="3">
        <f t="shared" ca="1" si="8"/>
        <v>10340508258.674248</v>
      </c>
      <c r="X43" s="3">
        <f t="shared" ca="1" si="9"/>
        <v>10409379099.643667</v>
      </c>
    </row>
    <row r="44" spans="1:24" x14ac:dyDescent="0.35">
      <c r="A44" t="s">
        <v>41</v>
      </c>
      <c r="B44" s="3">
        <v>632</v>
      </c>
      <c r="C44" s="2" t="s">
        <v>105</v>
      </c>
      <c r="D44" s="3">
        <v>497.72</v>
      </c>
      <c r="E44" s="3">
        <v>296.68</v>
      </c>
      <c r="F44" s="3">
        <v>-31.44</v>
      </c>
      <c r="G44" s="3">
        <v>-0.55774348057477385</v>
      </c>
      <c r="H44" s="3">
        <v>-5.0500000000000007</v>
      </c>
      <c r="I44" s="3">
        <v>304.48</v>
      </c>
      <c r="J44" s="3">
        <v>9.75</v>
      </c>
      <c r="K44" s="3">
        <v>-14.57</v>
      </c>
      <c r="L44" s="3">
        <v>-12.05</v>
      </c>
      <c r="M44" s="3">
        <v>-0.10325801366263794</v>
      </c>
      <c r="N44" s="3">
        <f t="shared" si="11"/>
        <v>328.12</v>
      </c>
      <c r="O44" s="4">
        <f t="shared" si="12"/>
        <v>-0.10597276526897667</v>
      </c>
      <c r="P44" s="3">
        <f t="shared" si="13"/>
        <v>3281200000</v>
      </c>
      <c r="Q44" s="3">
        <f t="shared" si="14"/>
        <v>5191772.1518987343</v>
      </c>
      <c r="R44" s="3">
        <f t="shared" ca="1" si="4"/>
        <v>362297866.01497835</v>
      </c>
      <c r="S44" s="3">
        <f t="shared" ca="1" si="10"/>
        <v>360211009.54313195</v>
      </c>
      <c r="T44" s="3">
        <f t="shared" ca="1" si="5"/>
        <v>380992182.52144402</v>
      </c>
      <c r="U44" s="3">
        <f t="shared" ca="1" si="6"/>
        <v>355012376.30020845</v>
      </c>
      <c r="V44" s="3">
        <f t="shared" ca="1" si="7"/>
        <v>368771818.25453991</v>
      </c>
      <c r="W44" s="3">
        <f t="shared" ca="1" si="8"/>
        <v>381779466.71664834</v>
      </c>
      <c r="X44" s="3">
        <f t="shared" ca="1" si="9"/>
        <v>337165418.03117007</v>
      </c>
    </row>
    <row r="45" spans="1:24" x14ac:dyDescent="0.35">
      <c r="A45" t="s">
        <v>23</v>
      </c>
      <c r="B45" s="3">
        <v>1032</v>
      </c>
      <c r="C45" s="2" t="s">
        <v>106</v>
      </c>
      <c r="D45" s="3">
        <v>6113.01</v>
      </c>
      <c r="E45" s="3">
        <v>4067.9399999999996</v>
      </c>
      <c r="F45" s="3">
        <v>507.28</v>
      </c>
      <c r="G45" s="3">
        <v>37.687964338781569</v>
      </c>
      <c r="H45" s="3">
        <v>751.2399999999999</v>
      </c>
      <c r="I45" s="3">
        <v>2268.29</v>
      </c>
      <c r="J45" s="3">
        <v>642.1</v>
      </c>
      <c r="K45" s="3">
        <v>-220.3</v>
      </c>
      <c r="L45" s="3">
        <v>-208.23</v>
      </c>
      <c r="M45" s="3">
        <v>0.22363983441270735</v>
      </c>
      <c r="N45" s="3">
        <f t="shared" si="11"/>
        <v>3560.66</v>
      </c>
      <c r="O45" s="4">
        <f t="shared" si="12"/>
        <v>0.12470193759003328</v>
      </c>
      <c r="P45" s="3">
        <f t="shared" si="13"/>
        <v>35606600000</v>
      </c>
      <c r="Q45" s="3">
        <f t="shared" si="14"/>
        <v>34502519.379844964</v>
      </c>
      <c r="R45" s="3">
        <f t="shared" ca="1" si="4"/>
        <v>4218223341.7939062</v>
      </c>
      <c r="S45" s="3">
        <f t="shared" ca="1" si="10"/>
        <v>4215482578.5993919</v>
      </c>
      <c r="T45" s="3">
        <f t="shared" ca="1" si="5"/>
        <v>4212420888.8894463</v>
      </c>
      <c r="U45" s="3">
        <f t="shared" ca="1" si="6"/>
        <v>4202714199.2301049</v>
      </c>
      <c r="V45" s="3">
        <f t="shared" ca="1" si="7"/>
        <v>4079506241.2210088</v>
      </c>
      <c r="W45" s="3">
        <f t="shared" ca="1" si="8"/>
        <v>3871921931.7963824</v>
      </c>
      <c r="X45" s="3">
        <f t="shared" ca="1" si="9"/>
        <v>4268621196.2940698</v>
      </c>
    </row>
    <row r="46" spans="1:24" x14ac:dyDescent="0.35">
      <c r="A46" t="s">
        <v>11</v>
      </c>
      <c r="B46" s="3">
        <v>13000</v>
      </c>
      <c r="C46" s="2" t="s">
        <v>108</v>
      </c>
      <c r="D46" s="3">
        <v>27484.94</v>
      </c>
      <c r="E46" s="3">
        <v>3908.36</v>
      </c>
      <c r="F46" s="3">
        <v>784.94</v>
      </c>
      <c r="G46" s="3">
        <v>125.99357945425361</v>
      </c>
      <c r="H46" s="3">
        <v>1143.8200000000002</v>
      </c>
      <c r="I46" s="3">
        <v>2859.96</v>
      </c>
      <c r="J46" s="3">
        <v>811.98</v>
      </c>
      <c r="K46" s="3">
        <v>-311.35000000000002</v>
      </c>
      <c r="L46" s="3">
        <v>-498.59</v>
      </c>
      <c r="M46" s="3">
        <v>0.27445838403334316</v>
      </c>
      <c r="N46" s="3">
        <f t="shared" si="11"/>
        <v>3123.42</v>
      </c>
      <c r="O46" s="4">
        <f t="shared" si="12"/>
        <v>0.20083615634179042</v>
      </c>
      <c r="P46" s="3">
        <f t="shared" si="13"/>
        <v>31234200000</v>
      </c>
      <c r="Q46" s="3">
        <f t="shared" si="14"/>
        <v>2402630.769230769</v>
      </c>
      <c r="R46" s="3">
        <f t="shared" ca="1" si="4"/>
        <v>3879859352.5297666</v>
      </c>
      <c r="S46" s="3">
        <f t="shared" ca="1" si="10"/>
        <v>3563365410.6485486</v>
      </c>
      <c r="T46" s="3">
        <f t="shared" ca="1" si="5"/>
        <v>3421431766.5969214</v>
      </c>
      <c r="U46" s="3">
        <f t="shared" ca="1" si="6"/>
        <v>3072192979.2415109</v>
      </c>
      <c r="V46" s="3">
        <f t="shared" ca="1" si="7"/>
        <v>3067331349.6345034</v>
      </c>
      <c r="W46" s="3">
        <f t="shared" ca="1" si="8"/>
        <v>3260601367.2192793</v>
      </c>
      <c r="X46" s="3">
        <f t="shared" ca="1" si="9"/>
        <v>3423492900.9286585</v>
      </c>
    </row>
    <row r="47" spans="1:24" x14ac:dyDescent="0.35">
      <c r="A47" t="s">
        <v>54</v>
      </c>
      <c r="B47" s="3">
        <v>12638</v>
      </c>
      <c r="C47" s="2" t="s">
        <v>109</v>
      </c>
      <c r="D47" s="3">
        <v>22732.83</v>
      </c>
      <c r="E47" s="3">
        <v>5296.6399999999994</v>
      </c>
      <c r="F47" s="3">
        <v>676.95</v>
      </c>
      <c r="G47" s="3">
        <v>16.68597485826966</v>
      </c>
      <c r="H47" s="3">
        <v>1070.4000000000001</v>
      </c>
      <c r="I47" s="3">
        <v>3579.42</v>
      </c>
      <c r="J47" s="3">
        <v>699.25</v>
      </c>
      <c r="K47" s="3">
        <v>-65.22</v>
      </c>
      <c r="L47" s="3">
        <v>-486.39</v>
      </c>
      <c r="M47" s="3">
        <v>0.18912281878069631</v>
      </c>
      <c r="N47" s="3">
        <f t="shared" si="11"/>
        <v>4619.6899999999996</v>
      </c>
      <c r="O47" s="4">
        <f t="shared" si="12"/>
        <v>0.12780744018849688</v>
      </c>
      <c r="P47" s="3">
        <f t="shared" si="13"/>
        <v>46196899999.999992</v>
      </c>
      <c r="Q47" s="3">
        <f t="shared" si="14"/>
        <v>3655396.4234847282</v>
      </c>
      <c r="R47" s="3">
        <f t="shared" ca="1" si="4"/>
        <v>4888352337.9361868</v>
      </c>
      <c r="S47" s="3">
        <f t="shared" ca="1" si="10"/>
        <v>4972066647.8915863</v>
      </c>
      <c r="T47" s="3">
        <f t="shared" ca="1" si="5"/>
        <v>5161673166.0124903</v>
      </c>
      <c r="U47" s="3">
        <f t="shared" ca="1" si="6"/>
        <v>5402219265.0546408</v>
      </c>
      <c r="V47" s="3">
        <f t="shared" ca="1" si="7"/>
        <v>5091221646.0087366</v>
      </c>
      <c r="W47" s="3">
        <f t="shared" ca="1" si="8"/>
        <v>5174234945.1993275</v>
      </c>
      <c r="X47" s="3">
        <f t="shared" ca="1" si="9"/>
        <v>4852532722.5217819</v>
      </c>
    </row>
    <row r="48" spans="1:24" x14ac:dyDescent="0.35">
      <c r="A48" t="s">
        <v>2</v>
      </c>
      <c r="B48" s="3">
        <v>636833</v>
      </c>
      <c r="C48" s="2" t="s">
        <v>107</v>
      </c>
      <c r="D48" s="3">
        <v>894608.69</v>
      </c>
      <c r="E48" s="3">
        <v>266897</v>
      </c>
      <c r="F48" s="3">
        <v>49210</v>
      </c>
      <c r="G48" s="3">
        <v>136.01061330532599</v>
      </c>
      <c r="H48" s="3">
        <v>72030</v>
      </c>
      <c r="I48" s="3">
        <v>107240</v>
      </c>
      <c r="J48" s="3">
        <v>52094</v>
      </c>
      <c r="K48" s="3">
        <v>-12845</v>
      </c>
      <c r="L48" s="3">
        <v>-42133</v>
      </c>
      <c r="M48" s="3">
        <v>0.45887728459530025</v>
      </c>
      <c r="N48" s="3">
        <f t="shared" si="11"/>
        <v>217687</v>
      </c>
      <c r="O48" s="4">
        <f t="shared" si="12"/>
        <v>0.18437824329235622</v>
      </c>
      <c r="P48" s="3">
        <f t="shared" si="13"/>
        <v>2176870000000</v>
      </c>
      <c r="Q48" s="3">
        <f t="shared" si="14"/>
        <v>3418274.4926848956</v>
      </c>
      <c r="R48" s="3">
        <f t="shared" ca="1" si="4"/>
        <v>255384482907.6337</v>
      </c>
      <c r="S48" s="3">
        <f t="shared" ca="1" si="10"/>
        <v>248349029636.6965</v>
      </c>
      <c r="T48" s="3">
        <f t="shared" ca="1" si="5"/>
        <v>236072383734.95468</v>
      </c>
      <c r="U48" s="3">
        <f t="shared" ca="1" si="6"/>
        <v>228391177387.91342</v>
      </c>
      <c r="V48" s="3">
        <f t="shared" ca="1" si="7"/>
        <v>235155686862.05338</v>
      </c>
      <c r="W48" s="3">
        <f t="shared" ca="1" si="8"/>
        <v>227247866065.35886</v>
      </c>
      <c r="X48" s="3">
        <f t="shared" ca="1" si="9"/>
        <v>226173489383.9845</v>
      </c>
    </row>
    <row r="49" spans="1:24" x14ac:dyDescent="0.35">
      <c r="A49" t="s">
        <v>5</v>
      </c>
      <c r="B49" s="3">
        <v>148000</v>
      </c>
      <c r="C49" s="2" t="s">
        <v>110</v>
      </c>
      <c r="D49" s="3">
        <v>140573.01</v>
      </c>
      <c r="E49" s="3">
        <v>53852.3</v>
      </c>
      <c r="F49" s="3">
        <v>4251.5</v>
      </c>
      <c r="G49" s="3">
        <v>43.426966292134829</v>
      </c>
      <c r="H49" s="3">
        <v>7836</v>
      </c>
      <c r="I49" s="3">
        <v>27361.5</v>
      </c>
      <c r="J49" s="3">
        <v>5785.7</v>
      </c>
      <c r="K49" s="3">
        <v>20</v>
      </c>
      <c r="L49" s="3">
        <v>-5834.3</v>
      </c>
      <c r="M49" s="3">
        <v>0.15538256309047385</v>
      </c>
      <c r="N49" s="3">
        <f t="shared" si="11"/>
        <v>49600.800000000003</v>
      </c>
      <c r="O49" s="4">
        <f t="shared" si="12"/>
        <v>7.8947417287655308E-2</v>
      </c>
      <c r="P49" s="3">
        <f t="shared" si="13"/>
        <v>496008000000</v>
      </c>
      <c r="Q49" s="3">
        <f t="shared" si="14"/>
        <v>3351405.4054054054</v>
      </c>
      <c r="R49" s="3">
        <f t="shared" ca="1" si="4"/>
        <v>58760806235.824585</v>
      </c>
      <c r="S49" s="3">
        <f t="shared" ca="1" si="10"/>
        <v>57654942660.620155</v>
      </c>
      <c r="T49" s="3">
        <f t="shared" ca="1" si="5"/>
        <v>57049977398.829361</v>
      </c>
      <c r="U49" s="3">
        <f t="shared" ca="1" si="6"/>
        <v>54208111452.176826</v>
      </c>
      <c r="V49" s="3">
        <f t="shared" ca="1" si="7"/>
        <v>55745999033.523659</v>
      </c>
      <c r="W49" s="3">
        <f t="shared" ca="1" si="8"/>
        <v>50161176742.463692</v>
      </c>
      <c r="X49" s="3">
        <f t="shared" ca="1" si="9"/>
        <v>51534478458.691322</v>
      </c>
    </row>
    <row r="50" spans="1:24" x14ac:dyDescent="0.35">
      <c r="A50" t="s">
        <v>3</v>
      </c>
      <c r="B50" s="3">
        <v>234000</v>
      </c>
      <c r="C50" s="2" t="s">
        <v>111</v>
      </c>
      <c r="D50" s="3">
        <v>212948.04</v>
      </c>
      <c r="E50" s="3">
        <v>92997.799999999988</v>
      </c>
      <c r="F50" s="3">
        <v>13135.4</v>
      </c>
      <c r="G50" s="3">
        <v>12.543233926337601</v>
      </c>
      <c r="H50" s="3">
        <v>21794</v>
      </c>
      <c r="I50" s="3">
        <v>82830.899999999994</v>
      </c>
      <c r="J50" s="3">
        <v>16942.599999999999</v>
      </c>
      <c r="K50" s="3">
        <v>-8044</v>
      </c>
      <c r="L50" s="3">
        <v>-6396.3</v>
      </c>
      <c r="M50" s="3">
        <v>0.15858091605910354</v>
      </c>
      <c r="N50" s="3">
        <f t="shared" si="11"/>
        <v>79862.399999999994</v>
      </c>
      <c r="O50" s="4">
        <f t="shared" si="12"/>
        <v>0.14124420147573385</v>
      </c>
      <c r="P50" s="3">
        <f t="shared" si="13"/>
        <v>798624000000</v>
      </c>
      <c r="Q50" s="3">
        <f t="shared" si="14"/>
        <v>3412923.076923077</v>
      </c>
      <c r="R50" s="3">
        <f t="shared" ca="1" si="4"/>
        <v>99203718858.006027</v>
      </c>
      <c r="S50" s="3">
        <f t="shared" ca="1" si="10"/>
        <v>78218207210.684082</v>
      </c>
      <c r="T50" s="3">
        <f t="shared" ca="1" si="5"/>
        <v>88357054075.288208</v>
      </c>
      <c r="U50" s="3">
        <f t="shared" ca="1" si="6"/>
        <v>89026259206.284851</v>
      </c>
      <c r="V50" s="3">
        <f t="shared" ca="1" si="7"/>
        <v>81913976270.465469</v>
      </c>
      <c r="W50" s="3">
        <f t="shared" ca="1" si="8"/>
        <v>86843725063.863281</v>
      </c>
      <c r="X50" s="3">
        <f t="shared" ca="1" si="9"/>
        <v>94829510410.186707</v>
      </c>
    </row>
    <row r="51" spans="1:24" x14ac:dyDescent="0.35">
      <c r="A51" t="s">
        <v>45</v>
      </c>
      <c r="B51" s="3">
        <v>548</v>
      </c>
      <c r="C51" s="2" t="s">
        <v>112</v>
      </c>
      <c r="D51" s="3">
        <v>392.95</v>
      </c>
      <c r="E51" s="3">
        <v>236.07999999999998</v>
      </c>
      <c r="F51" s="3">
        <v>9.15</v>
      </c>
      <c r="G51" s="3">
        <v>0.68488023952095811</v>
      </c>
      <c r="H51" s="3">
        <v>22.580000000000002</v>
      </c>
      <c r="I51" s="3">
        <v>182.55</v>
      </c>
      <c r="J51" s="3">
        <v>16.7</v>
      </c>
      <c r="K51" s="3">
        <v>7.0000000000000007E-2</v>
      </c>
      <c r="L51" s="3">
        <v>-9.06</v>
      </c>
      <c r="M51" s="3">
        <v>5.012325390304026E-2</v>
      </c>
      <c r="N51" s="3">
        <f t="shared" si="11"/>
        <v>226.92999999999998</v>
      </c>
      <c r="O51" s="4">
        <f t="shared" si="12"/>
        <v>3.8758048119281602E-2</v>
      </c>
      <c r="P51" s="3">
        <f t="shared" si="13"/>
        <v>2269300000</v>
      </c>
      <c r="Q51" s="3">
        <f t="shared" si="14"/>
        <v>4141058.3941605841</v>
      </c>
      <c r="R51" s="3">
        <f t="shared" ca="1" si="4"/>
        <v>255787801.33819014</v>
      </c>
      <c r="S51" s="3">
        <f t="shared" ca="1" si="10"/>
        <v>224700401.46710166</v>
      </c>
      <c r="T51" s="3">
        <f t="shared" ca="1" si="5"/>
        <v>273440031.07914507</v>
      </c>
      <c r="U51" s="3">
        <f t="shared" ca="1" si="6"/>
        <v>265369671.51883563</v>
      </c>
      <c r="V51" s="3">
        <f t="shared" ca="1" si="7"/>
        <v>272378231.23008811</v>
      </c>
      <c r="W51" s="3">
        <f t="shared" ca="1" si="8"/>
        <v>271444273.921354</v>
      </c>
      <c r="X51" s="3">
        <f t="shared" ca="1" si="9"/>
        <v>259095413.31021652</v>
      </c>
    </row>
    <row r="52" spans="1:24" x14ac:dyDescent="0.35">
      <c r="A52" t="s">
        <v>18</v>
      </c>
      <c r="B52" s="3">
        <v>9900</v>
      </c>
      <c r="C52" s="2" t="s">
        <v>113</v>
      </c>
      <c r="D52" s="3">
        <v>12575.77</v>
      </c>
      <c r="E52" s="3">
        <v>5440.8</v>
      </c>
      <c r="F52" s="3">
        <v>649.79999999999995</v>
      </c>
      <c r="G52" s="3">
        <v>28.612945838837515</v>
      </c>
      <c r="H52" s="3">
        <v>967.39999999999986</v>
      </c>
      <c r="I52" s="3">
        <v>4069.7000000000003</v>
      </c>
      <c r="J52" s="3">
        <v>565</v>
      </c>
      <c r="K52" s="3">
        <v>-472.9</v>
      </c>
      <c r="L52" s="3">
        <v>-264.5</v>
      </c>
      <c r="M52" s="3">
        <v>0.15966778878049978</v>
      </c>
      <c r="N52" s="3">
        <f t="shared" si="11"/>
        <v>4791</v>
      </c>
      <c r="O52" s="4">
        <f t="shared" si="12"/>
        <v>0.1194309660344067</v>
      </c>
      <c r="P52" s="3">
        <f t="shared" si="13"/>
        <v>47910000000</v>
      </c>
      <c r="Q52" s="3">
        <f t="shared" si="14"/>
        <v>4839393.9393939395</v>
      </c>
      <c r="R52" s="3">
        <f t="shared" ca="1" si="4"/>
        <v>5290043508.7095013</v>
      </c>
      <c r="S52" s="3">
        <f t="shared" ca="1" si="10"/>
        <v>5104879244.4835272</v>
      </c>
      <c r="T52" s="3">
        <f t="shared" ca="1" si="5"/>
        <v>5300600108.1197882</v>
      </c>
      <c r="U52" s="3">
        <f t="shared" ca="1" si="6"/>
        <v>4869503871.503335</v>
      </c>
      <c r="V52" s="3">
        <f t="shared" ca="1" si="7"/>
        <v>4704965869.4952669</v>
      </c>
      <c r="W52" s="3">
        <f t="shared" ca="1" si="8"/>
        <v>4740931163.7351465</v>
      </c>
      <c r="X52" s="3">
        <f t="shared" ca="1" si="9"/>
        <v>5962391382.5165443</v>
      </c>
    </row>
    <row r="53" spans="1:24" x14ac:dyDescent="0.35">
      <c r="C53" s="2"/>
    </row>
    <row r="54" spans="1:24" x14ac:dyDescent="0.35">
      <c r="C54" s="2"/>
    </row>
    <row r="55" spans="1:24" x14ac:dyDescent="0.35">
      <c r="C55" s="2"/>
    </row>
    <row r="56" spans="1:24" x14ac:dyDescent="0.35">
      <c r="C56" s="2"/>
    </row>
    <row r="57" spans="1:24" x14ac:dyDescent="0.35">
      <c r="C57" s="2"/>
    </row>
    <row r="58" spans="1:24" x14ac:dyDescent="0.35">
      <c r="C58" s="2"/>
    </row>
    <row r="59" spans="1:24" x14ac:dyDescent="0.35">
      <c r="C59" s="2"/>
    </row>
    <row r="60" spans="1:24" x14ac:dyDescent="0.35">
      <c r="C60" s="2"/>
    </row>
    <row r="61" spans="1:24" x14ac:dyDescent="0.35">
      <c r="C61" s="1"/>
    </row>
    <row r="62" spans="1:24" x14ac:dyDescent="0.35">
      <c r="C62" s="1"/>
    </row>
    <row r="63" spans="1:24" x14ac:dyDescent="0.35">
      <c r="C63" s="1"/>
    </row>
    <row r="64" spans="1:24" x14ac:dyDescent="0.35">
      <c r="C64" s="1"/>
      <c r="D64"/>
    </row>
    <row r="65" spans="3:4" x14ac:dyDescent="0.35">
      <c r="C65" s="1"/>
      <c r="D65"/>
    </row>
    <row r="67" spans="3:4" x14ac:dyDescent="0.35">
      <c r="C67" s="1"/>
      <c r="D67"/>
    </row>
    <row r="68" spans="3:4" x14ac:dyDescent="0.35">
      <c r="C68" s="1"/>
      <c r="D68"/>
    </row>
    <row r="69" spans="3:4" x14ac:dyDescent="0.35">
      <c r="C69" s="1"/>
      <c r="D69"/>
    </row>
  </sheetData>
  <sortState xmlns:xlrd2="http://schemas.microsoft.com/office/spreadsheetml/2017/richdata2" ref="B2:C69">
    <sortCondition ref="B1:B69"/>
  </sortState>
  <conditionalFormatting sqref="M1: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Hemanshu Ashish</dc:creator>
  <cp:lastModifiedBy>Dhawan Hemanshu Ashish</cp:lastModifiedBy>
  <dcterms:created xsi:type="dcterms:W3CDTF">2026-04-12T08:26:06Z</dcterms:created>
  <dcterms:modified xsi:type="dcterms:W3CDTF">2026-04-15T10:37:17Z</dcterms:modified>
</cp:coreProperties>
</file>