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Code\Code\Python\Data_Project\"/>
    </mc:Choice>
  </mc:AlternateContent>
  <xr:revisionPtr revIDLastSave="0" documentId="13_ncr:1_{312E4475-A9C3-42A6-BAA7-1EC7E3B6F540}" xr6:coauthVersionLast="47" xr6:coauthVersionMax="47" xr10:uidLastSave="{00000000-0000-0000-0000-000000000000}"/>
  <bookViews>
    <workbookView xWindow="-98" yWindow="-98" windowWidth="21795" windowHeight="13695" xr2:uid="{369E4836-92E2-44AD-8257-2B7A8DF32B0E}"/>
  </bookViews>
  <sheets>
    <sheet name="Sheet2" sheetId="2" r:id="rId1"/>
  </sheets>
  <definedNames>
    <definedName name="_xlnm._FilterDatabase" localSheetId="0" hidden="1">Sheet2!$C$1:$C$69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P3" i="2"/>
  <c r="Q3" i="2" s="1"/>
  <c r="R3" i="2" s="1"/>
  <c r="P4" i="2"/>
  <c r="Q4" i="2" s="1"/>
  <c r="R4" i="2" s="1"/>
  <c r="P5" i="2"/>
  <c r="Q5" i="2" s="1"/>
  <c r="R5" i="2" s="1"/>
  <c r="P6" i="2"/>
  <c r="Q6" i="2" s="1"/>
  <c r="R6" i="2" s="1"/>
  <c r="P7" i="2"/>
  <c r="Q7" i="2" s="1"/>
  <c r="R7" i="2" s="1"/>
  <c r="P8" i="2"/>
  <c r="Q8" i="2" s="1"/>
  <c r="R8" i="2" s="1"/>
  <c r="P9" i="2"/>
  <c r="Q9" i="2" s="1"/>
  <c r="R9" i="2" s="1"/>
  <c r="P10" i="2"/>
  <c r="Q10" i="2" s="1"/>
  <c r="R10" i="2" s="1"/>
  <c r="P11" i="2"/>
  <c r="Q11" i="2" s="1"/>
  <c r="R11" i="2" s="1"/>
  <c r="P12" i="2"/>
  <c r="Q12" i="2" s="1"/>
  <c r="R12" i="2" s="1"/>
  <c r="P13" i="2"/>
  <c r="Q13" i="2" s="1"/>
  <c r="R13" i="2" s="1"/>
  <c r="P14" i="2"/>
  <c r="Q14" i="2" s="1"/>
  <c r="R14" i="2" s="1"/>
  <c r="P15" i="2"/>
  <c r="Q15" i="2" s="1"/>
  <c r="R15" i="2" s="1"/>
  <c r="P16" i="2"/>
  <c r="Q16" i="2" s="1"/>
  <c r="R16" i="2" s="1"/>
  <c r="P17" i="2"/>
  <c r="Q17" i="2" s="1"/>
  <c r="R17" i="2" s="1"/>
  <c r="P18" i="2"/>
  <c r="Q18" i="2" s="1"/>
  <c r="R18" i="2" s="1"/>
  <c r="P19" i="2"/>
  <c r="Q19" i="2" s="1"/>
  <c r="R19" i="2" s="1"/>
  <c r="P20" i="2"/>
  <c r="Q20" i="2" s="1"/>
  <c r="R20" i="2" s="1"/>
  <c r="P21" i="2"/>
  <c r="Q21" i="2" s="1"/>
  <c r="P22" i="2"/>
  <c r="Q22" i="2" s="1"/>
  <c r="R22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1" i="2"/>
  <c r="Q31" i="2" s="1"/>
  <c r="R31" i="2" s="1"/>
  <c r="P32" i="2"/>
  <c r="Q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3" i="2"/>
  <c r="Q43" i="2" s="1"/>
  <c r="R43" i="2" s="1"/>
  <c r="P44" i="2"/>
  <c r="Q44" i="2" s="1"/>
  <c r="R44" i="2" s="1"/>
  <c r="P45" i="2"/>
  <c r="Q45" i="2" s="1"/>
  <c r="R45" i="2" s="1"/>
  <c r="P46" i="2"/>
  <c r="Q46" i="2" s="1"/>
  <c r="R46" i="2" s="1"/>
  <c r="P47" i="2"/>
  <c r="Q47" i="2" s="1"/>
  <c r="R47" i="2" s="1"/>
  <c r="P48" i="2"/>
  <c r="Q48" i="2" s="1"/>
  <c r="P49" i="2"/>
  <c r="Q49" i="2" s="1"/>
  <c r="R49" i="2" s="1"/>
  <c r="P50" i="2"/>
  <c r="Q50" i="2" s="1"/>
  <c r="R50" i="2" s="1"/>
  <c r="P51" i="2"/>
  <c r="Q51" i="2" s="1"/>
  <c r="R51" i="2" s="1"/>
  <c r="P52" i="2"/>
  <c r="Q52" i="2" s="1"/>
  <c r="R52" i="2" s="1"/>
  <c r="P2" i="2"/>
  <c r="Q2" i="2" s="1"/>
  <c r="R2" i="2" s="1"/>
  <c r="S9" i="2" l="1"/>
  <c r="R21" i="2"/>
  <c r="T21" i="2"/>
  <c r="Y21" i="2"/>
  <c r="S21" i="2"/>
  <c r="X21" i="2"/>
  <c r="W21" i="2"/>
  <c r="V21" i="2"/>
  <c r="U21" i="2"/>
  <c r="R32" i="2"/>
  <c r="X32" i="2"/>
  <c r="W32" i="2"/>
  <c r="V32" i="2"/>
  <c r="U32" i="2"/>
  <c r="T32" i="2"/>
  <c r="Y32" i="2"/>
  <c r="S32" i="2"/>
  <c r="R48" i="2"/>
  <c r="X48" i="2"/>
  <c r="W48" i="2"/>
  <c r="V48" i="2"/>
  <c r="U48" i="2"/>
  <c r="T48" i="2"/>
  <c r="Y48" i="2"/>
  <c r="S48" i="2"/>
  <c r="S16" i="2"/>
  <c r="T51" i="2"/>
  <c r="T35" i="2"/>
  <c r="T19" i="2"/>
  <c r="T3" i="2"/>
  <c r="U38" i="2"/>
  <c r="U22" i="2"/>
  <c r="U6" i="2"/>
  <c r="V41" i="2"/>
  <c r="V25" i="2"/>
  <c r="V9" i="2"/>
  <c r="W44" i="2"/>
  <c r="W28" i="2"/>
  <c r="W12" i="2"/>
  <c r="X47" i="2"/>
  <c r="X31" i="2"/>
  <c r="X15" i="2"/>
  <c r="Y50" i="2"/>
  <c r="Y34" i="2"/>
  <c r="Y18" i="2"/>
  <c r="S47" i="2"/>
  <c r="S31" i="2"/>
  <c r="S15" i="2"/>
  <c r="T50" i="2"/>
  <c r="T34" i="2"/>
  <c r="T18" i="2"/>
  <c r="U2" i="2"/>
  <c r="U37" i="2"/>
  <c r="U5" i="2"/>
  <c r="V40" i="2"/>
  <c r="V24" i="2"/>
  <c r="V8" i="2"/>
  <c r="W43" i="2"/>
  <c r="W27" i="2"/>
  <c r="W11" i="2"/>
  <c r="X46" i="2"/>
  <c r="X30" i="2"/>
  <c r="X14" i="2"/>
  <c r="Y49" i="2"/>
  <c r="Y33" i="2"/>
  <c r="Y17" i="2"/>
  <c r="S46" i="2"/>
  <c r="S30" i="2"/>
  <c r="S14" i="2"/>
  <c r="T49" i="2"/>
  <c r="T33" i="2"/>
  <c r="T17" i="2"/>
  <c r="U52" i="2"/>
  <c r="U36" i="2"/>
  <c r="U20" i="2"/>
  <c r="U4" i="2"/>
  <c r="V39" i="2"/>
  <c r="V23" i="2"/>
  <c r="V7" i="2"/>
  <c r="W42" i="2"/>
  <c r="W26" i="2"/>
  <c r="W10" i="2"/>
  <c r="X45" i="2"/>
  <c r="X29" i="2"/>
  <c r="X13" i="2"/>
  <c r="Y16" i="2"/>
  <c r="S45" i="2"/>
  <c r="S29" i="2"/>
  <c r="S13" i="2"/>
  <c r="T16" i="2"/>
  <c r="U51" i="2"/>
  <c r="U35" i="2"/>
  <c r="U19" i="2"/>
  <c r="U3" i="2"/>
  <c r="V38" i="2"/>
  <c r="V22" i="2"/>
  <c r="V6" i="2"/>
  <c r="W41" i="2"/>
  <c r="W25" i="2"/>
  <c r="W9" i="2"/>
  <c r="X44" i="2"/>
  <c r="X28" i="2"/>
  <c r="X12" i="2"/>
  <c r="Y47" i="2"/>
  <c r="Y31" i="2"/>
  <c r="Y15" i="2"/>
  <c r="S44" i="2"/>
  <c r="S28" i="2"/>
  <c r="S12" i="2"/>
  <c r="T47" i="2"/>
  <c r="T31" i="2"/>
  <c r="T15" i="2"/>
  <c r="U50" i="2"/>
  <c r="U34" i="2"/>
  <c r="U18" i="2"/>
  <c r="V2" i="2"/>
  <c r="V37" i="2"/>
  <c r="V5" i="2"/>
  <c r="W40" i="2"/>
  <c r="W24" i="2"/>
  <c r="W8" i="2"/>
  <c r="X43" i="2"/>
  <c r="X27" i="2"/>
  <c r="X11" i="2"/>
  <c r="Y46" i="2"/>
  <c r="Y30" i="2"/>
  <c r="Y14" i="2"/>
  <c r="S43" i="2"/>
  <c r="S27" i="2"/>
  <c r="S11" i="2"/>
  <c r="T46" i="2"/>
  <c r="T30" i="2"/>
  <c r="T14" i="2"/>
  <c r="U49" i="2"/>
  <c r="U33" i="2"/>
  <c r="U17" i="2"/>
  <c r="V52" i="2"/>
  <c r="V36" i="2"/>
  <c r="V20" i="2"/>
  <c r="V4" i="2"/>
  <c r="W39" i="2"/>
  <c r="W23" i="2"/>
  <c r="W7" i="2"/>
  <c r="X42" i="2"/>
  <c r="X26" i="2"/>
  <c r="X10" i="2"/>
  <c r="Y45" i="2"/>
  <c r="Y29" i="2"/>
  <c r="Y13" i="2"/>
  <c r="S42" i="2"/>
  <c r="S26" i="2"/>
  <c r="S10" i="2"/>
  <c r="T45" i="2"/>
  <c r="T29" i="2"/>
  <c r="T13" i="2"/>
  <c r="U16" i="2"/>
  <c r="V51" i="2"/>
  <c r="V35" i="2"/>
  <c r="V19" i="2"/>
  <c r="V3" i="2"/>
  <c r="W38" i="2"/>
  <c r="W22" i="2"/>
  <c r="W6" i="2"/>
  <c r="X41" i="2"/>
  <c r="X25" i="2"/>
  <c r="X9" i="2"/>
  <c r="Y44" i="2"/>
  <c r="Y28" i="2"/>
  <c r="Y12" i="2"/>
  <c r="S41" i="2"/>
  <c r="S25" i="2"/>
  <c r="T44" i="2"/>
  <c r="T28" i="2"/>
  <c r="T12" i="2"/>
  <c r="U47" i="2"/>
  <c r="U31" i="2"/>
  <c r="U15" i="2"/>
  <c r="V50" i="2"/>
  <c r="V34" i="2"/>
  <c r="V18" i="2"/>
  <c r="W2" i="2"/>
  <c r="W37" i="2"/>
  <c r="W5" i="2"/>
  <c r="X40" i="2"/>
  <c r="X24" i="2"/>
  <c r="X8" i="2"/>
  <c r="Y43" i="2"/>
  <c r="Y27" i="2"/>
  <c r="Y11" i="2"/>
  <c r="S40" i="2"/>
  <c r="S24" i="2"/>
  <c r="S8" i="2"/>
  <c r="T43" i="2"/>
  <c r="T27" i="2"/>
  <c r="T11" i="2"/>
  <c r="U46" i="2"/>
  <c r="U30" i="2"/>
  <c r="U14" i="2"/>
  <c r="V49" i="2"/>
  <c r="V33" i="2"/>
  <c r="V17" i="2"/>
  <c r="W52" i="2"/>
  <c r="W36" i="2"/>
  <c r="W20" i="2"/>
  <c r="W4" i="2"/>
  <c r="X39" i="2"/>
  <c r="X23" i="2"/>
  <c r="X7" i="2"/>
  <c r="Y42" i="2"/>
  <c r="Y26" i="2"/>
  <c r="Y10" i="2"/>
  <c r="S39" i="2"/>
  <c r="S23" i="2"/>
  <c r="S7" i="2"/>
  <c r="T42" i="2"/>
  <c r="T26" i="2"/>
  <c r="T10" i="2"/>
  <c r="U45" i="2"/>
  <c r="U29" i="2"/>
  <c r="U13" i="2"/>
  <c r="V16" i="2"/>
  <c r="W51" i="2"/>
  <c r="W35" i="2"/>
  <c r="W19" i="2"/>
  <c r="W3" i="2"/>
  <c r="X38" i="2"/>
  <c r="X22" i="2"/>
  <c r="X6" i="2"/>
  <c r="Y41" i="2"/>
  <c r="Y25" i="2"/>
  <c r="Y9" i="2"/>
  <c r="S38" i="2"/>
  <c r="S22" i="2"/>
  <c r="S6" i="2"/>
  <c r="T41" i="2"/>
  <c r="T25" i="2"/>
  <c r="T9" i="2"/>
  <c r="U44" i="2"/>
  <c r="U28" i="2"/>
  <c r="U12" i="2"/>
  <c r="V47" i="2"/>
  <c r="V31" i="2"/>
  <c r="V15" i="2"/>
  <c r="W50" i="2"/>
  <c r="W34" i="2"/>
  <c r="W18" i="2"/>
  <c r="X2" i="2"/>
  <c r="X37" i="2"/>
  <c r="X5" i="2"/>
  <c r="Y40" i="2"/>
  <c r="Y24" i="2"/>
  <c r="Y8" i="2"/>
  <c r="S2" i="2"/>
  <c r="S37" i="2"/>
  <c r="S5" i="2"/>
  <c r="T40" i="2"/>
  <c r="T24" i="2"/>
  <c r="T8" i="2"/>
  <c r="U43" i="2"/>
  <c r="U27" i="2"/>
  <c r="U11" i="2"/>
  <c r="V46" i="2"/>
  <c r="V30" i="2"/>
  <c r="V14" i="2"/>
  <c r="W49" i="2"/>
  <c r="W33" i="2"/>
  <c r="W17" i="2"/>
  <c r="X52" i="2"/>
  <c r="X36" i="2"/>
  <c r="X20" i="2"/>
  <c r="X4" i="2"/>
  <c r="Y39" i="2"/>
  <c r="Y23" i="2"/>
  <c r="Y7" i="2"/>
  <c r="S52" i="2"/>
  <c r="S36" i="2"/>
  <c r="S20" i="2"/>
  <c r="S4" i="2"/>
  <c r="T39" i="2"/>
  <c r="T23" i="2"/>
  <c r="T7" i="2"/>
  <c r="U42" i="2"/>
  <c r="U26" i="2"/>
  <c r="U10" i="2"/>
  <c r="V45" i="2"/>
  <c r="V29" i="2"/>
  <c r="V13" i="2"/>
  <c r="W16" i="2"/>
  <c r="X51" i="2"/>
  <c r="X35" i="2"/>
  <c r="X19" i="2"/>
  <c r="X3" i="2"/>
  <c r="Y38" i="2"/>
  <c r="Y22" i="2"/>
  <c r="Y6" i="2"/>
  <c r="S51" i="2"/>
  <c r="S35" i="2"/>
  <c r="S19" i="2"/>
  <c r="S3" i="2"/>
  <c r="T38" i="2"/>
  <c r="T22" i="2"/>
  <c r="T6" i="2"/>
  <c r="U41" i="2"/>
  <c r="U25" i="2"/>
  <c r="U9" i="2"/>
  <c r="V44" i="2"/>
  <c r="V28" i="2"/>
  <c r="V12" i="2"/>
  <c r="W47" i="2"/>
  <c r="W31" i="2"/>
  <c r="W15" i="2"/>
  <c r="X50" i="2"/>
  <c r="X34" i="2"/>
  <c r="X18" i="2"/>
  <c r="Y2" i="2"/>
  <c r="Y37" i="2"/>
  <c r="Y5" i="2"/>
  <c r="S50" i="2"/>
  <c r="S34" i="2"/>
  <c r="S18" i="2"/>
  <c r="T2" i="2"/>
  <c r="T37" i="2"/>
  <c r="T5" i="2"/>
  <c r="U40" i="2"/>
  <c r="U24" i="2"/>
  <c r="U8" i="2"/>
  <c r="V43" i="2"/>
  <c r="V27" i="2"/>
  <c r="V11" i="2"/>
  <c r="W46" i="2"/>
  <c r="W30" i="2"/>
  <c r="W14" i="2"/>
  <c r="X49" i="2"/>
  <c r="X33" i="2"/>
  <c r="X17" i="2"/>
  <c r="Y52" i="2"/>
  <c r="Y36" i="2"/>
  <c r="Y20" i="2"/>
  <c r="Y4" i="2"/>
  <c r="S49" i="2"/>
  <c r="S33" i="2"/>
  <c r="S17" i="2"/>
  <c r="T52" i="2"/>
  <c r="T36" i="2"/>
  <c r="T20" i="2"/>
  <c r="T4" i="2"/>
  <c r="U39" i="2"/>
  <c r="U23" i="2"/>
  <c r="U7" i="2"/>
  <c r="V42" i="2"/>
  <c r="V26" i="2"/>
  <c r="V10" i="2"/>
  <c r="W45" i="2"/>
  <c r="W29" i="2"/>
  <c r="W13" i="2"/>
  <c r="X16" i="2"/>
  <c r="Y51" i="2"/>
  <c r="Y35" i="2"/>
  <c r="Y19" i="2"/>
  <c r="Y3" i="2"/>
</calcChain>
</file>

<file path=xl/sharedStrings.xml><?xml version="1.0" encoding="utf-8"?>
<sst xmlns="http://schemas.openxmlformats.org/spreadsheetml/2006/main" count="128" uniqueCount="127">
  <si>
    <t>Company Name</t>
  </si>
  <si>
    <t>Employee Count</t>
  </si>
  <si>
    <t>TCS</t>
  </si>
  <si>
    <t>Wipro</t>
  </si>
  <si>
    <t>Infosys</t>
  </si>
  <si>
    <t>Tech Mahindra</t>
  </si>
  <si>
    <t>LTIMindtree</t>
  </si>
  <si>
    <t>Mphasis</t>
  </si>
  <si>
    <t>Coforge</t>
  </si>
  <si>
    <t>Cyient</t>
  </si>
  <si>
    <t>Persistent Systems</t>
  </si>
  <si>
    <t>Tata Elxsi</t>
  </si>
  <si>
    <t>Sonata Software</t>
  </si>
  <si>
    <t>HCL Technologies</t>
  </si>
  <si>
    <t>Oracle Fin.Serv.</t>
  </si>
  <si>
    <t>Hexaware Tech.</t>
  </si>
  <si>
    <t>KPIT Technologi.</t>
  </si>
  <si>
    <t>Fractal Analyt.</t>
  </si>
  <si>
    <t>Zensar Tech.</t>
  </si>
  <si>
    <t>Birlasoft Ltd</t>
  </si>
  <si>
    <t>Intellect Design</t>
  </si>
  <si>
    <t>Rategain Travel</t>
  </si>
  <si>
    <t>Newgen Software</t>
  </si>
  <si>
    <t>Tanla Platforms</t>
  </si>
  <si>
    <t>Latent View</t>
  </si>
  <si>
    <t>Happiest Minds</t>
  </si>
  <si>
    <t>C.E. Info System</t>
  </si>
  <si>
    <t>Aurionpro Sol.</t>
  </si>
  <si>
    <t>ASM Technologies</t>
  </si>
  <si>
    <t>63 Moons Tech.</t>
  </si>
  <si>
    <t>Ceinsys Tech</t>
  </si>
  <si>
    <t>Nucleus Soft.</t>
  </si>
  <si>
    <t>Saksoft</t>
  </si>
  <si>
    <t>InfoBeans Tech.</t>
  </si>
  <si>
    <t>Accelya Solution</t>
  </si>
  <si>
    <t>Ramco Systems</t>
  </si>
  <si>
    <t>Magellanic Cloud</t>
  </si>
  <si>
    <t>Quick Heal Tech</t>
  </si>
  <si>
    <t>Ksolves India</t>
  </si>
  <si>
    <t>NINtec Systems</t>
  </si>
  <si>
    <t>Mindteck (India)</t>
  </si>
  <si>
    <t>Subex</t>
  </si>
  <si>
    <t>ABM Knowledge</t>
  </si>
  <si>
    <t>IRIS Regtech Solutions</t>
  </si>
  <si>
    <t>Softtech Enginee</t>
  </si>
  <si>
    <t>XT Global Infot.</t>
  </si>
  <si>
    <t>EBITDA</t>
  </si>
  <si>
    <t>Share Holder Equity</t>
  </si>
  <si>
    <t>Cash Flow from Operating</t>
  </si>
  <si>
    <t>Cash Flow from Investing</t>
  </si>
  <si>
    <t>Cash Flow from Financial Activities</t>
  </si>
  <si>
    <t>ROE</t>
  </si>
  <si>
    <t>L&amp;T Technology</t>
  </si>
  <si>
    <t>Inventurus Knowl</t>
  </si>
  <si>
    <t>Tata Technolog.</t>
  </si>
  <si>
    <t>Affle 3i</t>
  </si>
  <si>
    <t>Sagility</t>
  </si>
  <si>
    <t>Netweb Technol.</t>
  </si>
  <si>
    <t>Black Box</t>
  </si>
  <si>
    <t>Market Cap</t>
  </si>
  <si>
    <t>Revenue</t>
  </si>
  <si>
    <t>Net Profit</t>
  </si>
  <si>
    <t>Earning Per Share</t>
  </si>
  <si>
    <t>63 MOONS TECHNOLOGIES LTD</t>
  </si>
  <si>
    <t>ABM KNOWLEDGEWARE LTD</t>
  </si>
  <si>
    <t>ACCELYA SOLUTIONS INDIA LTD</t>
  </si>
  <si>
    <t>AFFLE 3I LTD</t>
  </si>
  <si>
    <t>ASM TECHNOLOGIES LTD</t>
  </si>
  <si>
    <t>AURIONPRO SOLUTIONS LTD</t>
  </si>
  <si>
    <t>BIRLASOFT LTD</t>
  </si>
  <si>
    <t>BLACK BOX LTD</t>
  </si>
  <si>
    <t>C.E. INFO SYSTEMS LTD</t>
  </si>
  <si>
    <t>CEINSYS TECH LTD</t>
  </si>
  <si>
    <t>COFORGE LTD</t>
  </si>
  <si>
    <t>CYIENT LTD</t>
  </si>
  <si>
    <t>FRACTAL ANALYTICS LTD</t>
  </si>
  <si>
    <t>HCL TECHNOLOGIES LTD</t>
  </si>
  <si>
    <t>HAPPIEST MINDS TECHNOLOGIES LTD</t>
  </si>
  <si>
    <t>HEXAWARE TECHNOLOGIES LTD</t>
  </si>
  <si>
    <t>IRIS REGTECH SOLUTIONS LTD</t>
  </si>
  <si>
    <t>INFOBEANS TECHNOLOGIES LTD</t>
  </si>
  <si>
    <t>INFOSYS LTD</t>
  </si>
  <si>
    <t>INTELLECT DESIGN ARENA LTD</t>
  </si>
  <si>
    <t>INVENTURUS KNOWLEDGE SOLUTIONS LTD</t>
  </si>
  <si>
    <t>KPIT TECHNOLOGIES LTD</t>
  </si>
  <si>
    <t>KSOLVES INDIA LTD</t>
  </si>
  <si>
    <t>L&amp;T TECHNOLOGY SERVICES LTD</t>
  </si>
  <si>
    <t>LTIMINDTREE LTD</t>
  </si>
  <si>
    <t>LATENT VIEW ANALYTICS LTD</t>
  </si>
  <si>
    <t>MAGELLANIC CLOUD LTD</t>
  </si>
  <si>
    <t>MINDTECK (INDIA) LTD</t>
  </si>
  <si>
    <t>MPHASIS LTD</t>
  </si>
  <si>
    <t>NINTEC SYSTEMS LTD</t>
  </si>
  <si>
    <t>NETWEB TECHNOLOGIES INDIA LTD</t>
  </si>
  <si>
    <t>NEWGEN SOFTWARE TECHNOLOGIES LTD</t>
  </si>
  <si>
    <t>NUCLEUS SOFTWARE EXPORTS LTD</t>
  </si>
  <si>
    <t>ORACLE FINANCIAL SERVICES SOFTWARE LTD</t>
  </si>
  <si>
    <t>PERSISTENT SYSTEMS LTD</t>
  </si>
  <si>
    <t>QUICK HEAL TECHNOLOGIES LTD</t>
  </si>
  <si>
    <t>RAMCO SYSTEMS LTD</t>
  </si>
  <si>
    <t>RATEGAIN TRAVEL TECHNOLOGIES LTD</t>
  </si>
  <si>
    <t>SAGILITY LTD</t>
  </si>
  <si>
    <t>SAKSOFT LTD</t>
  </si>
  <si>
    <t>SOFTTECH ENGINEERS LTD</t>
  </si>
  <si>
    <t>SONATA SOFTWARE LTD</t>
  </si>
  <si>
    <t>SUBEX LTD</t>
  </si>
  <si>
    <t>TANLA PLATFORMS LTD</t>
  </si>
  <si>
    <t>TATA CONSULTANCY SERVICES LTD</t>
  </si>
  <si>
    <t>TATA ELXSI LTD</t>
  </si>
  <si>
    <t>TATA TECHNOLOGIES LTD</t>
  </si>
  <si>
    <t>TECH MAHINDRA LTD</t>
  </si>
  <si>
    <t>WIPRO LTD</t>
  </si>
  <si>
    <t>XT GLOBAL INFOTECH LTD</t>
  </si>
  <si>
    <t>ZENSAR TECHNOLOGIES LTD</t>
  </si>
  <si>
    <t>Total Cost</t>
  </si>
  <si>
    <t>LOSS</t>
  </si>
  <si>
    <t>LOss</t>
  </si>
  <si>
    <t>Profit margin</t>
  </si>
  <si>
    <t>Total cost in Crores</t>
  </si>
  <si>
    <t>Cost Per employee</t>
  </si>
  <si>
    <t>Engineering</t>
  </si>
  <si>
    <t>Operations</t>
  </si>
  <si>
    <t>Support</t>
  </si>
  <si>
    <t>Maintanience</t>
  </si>
  <si>
    <t>Customer Service</t>
  </si>
  <si>
    <t>Research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</si>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</sst>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7D36-5AA9-4706-BACB-2B8DE34E5D88}">
  <dimension ref="A1:AI69"/>
  <sheetViews>
    <sheetView tabSelected="1" topLeftCell="L1" zoomScaleNormal="100" workbookViewId="0">
      <selection activeCell="P1" sqref="P1:P1048576"/>
    </sheetView>
  </sheetViews>
  <sheetFormatPr defaultRowHeight="13.5" x14ac:dyDescent="0.35"/>
  <cols>
    <col min="2" max="2" width="19.609375" bestFit="1" customWidth="1"/>
    <col min="3" max="3" width="13.94140625" bestFit="1" customWidth="1"/>
    <col min="4" max="4" width="13.94140625" style="2" bestFit="1" customWidth="1"/>
    <col min="5" max="5" width="23.1640625" customWidth="1"/>
    <col min="6" max="6" width="10.5546875" bestFit="1" customWidth="1"/>
    <col min="7" max="7" width="8.94140625" bestFit="1" customWidth="1"/>
    <col min="8" max="8" width="15.27734375" bestFit="1" customWidth="1"/>
    <col min="9" max="9" width="8.94140625" bestFit="1" customWidth="1"/>
    <col min="10" max="10" width="17.0546875" bestFit="1" customWidth="1"/>
    <col min="11" max="11" width="22" bestFit="1" customWidth="1"/>
    <col min="12" max="12" width="21.609375" bestFit="1" customWidth="1"/>
    <col min="13" max="13" width="29.21875" bestFit="1" customWidth="1"/>
    <col min="14" max="14" width="8.0546875" bestFit="1" customWidth="1"/>
    <col min="15" max="15" width="14.1640625" customWidth="1"/>
    <col min="16" max="16" width="15.0546875" bestFit="1" customWidth="1"/>
    <col min="17" max="17" width="21.1640625" bestFit="1" customWidth="1"/>
    <col min="18" max="18" width="17.5546875" bestFit="1" customWidth="1"/>
    <col min="19" max="25" width="20.0546875" bestFit="1" customWidth="1"/>
    <col min="26" max="27" width="18.5" bestFit="1" customWidth="1"/>
    <col min="28" max="28" width="19.21875" bestFit="1" customWidth="1"/>
    <col min="29" max="29" width="15.38671875" bestFit="1" customWidth="1"/>
  </cols>
  <sheetData>
    <row r="1" spans="1:35" x14ac:dyDescent="0.35">
      <c r="A1" t="s">
        <v>0</v>
      </c>
      <c r="B1" t="s">
        <v>1</v>
      </c>
      <c r="C1" s="2"/>
      <c r="D1" t="s">
        <v>59</v>
      </c>
      <c r="E1" t="s">
        <v>60</v>
      </c>
      <c r="F1" t="s">
        <v>61</v>
      </c>
      <c r="G1" t="s">
        <v>62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O1" t="s">
        <v>117</v>
      </c>
      <c r="P1" t="s">
        <v>114</v>
      </c>
      <c r="Q1" t="s">
        <v>118</v>
      </c>
      <c r="R1" t="s">
        <v>119</v>
      </c>
      <c r="S1" t="s">
        <v>120</v>
      </c>
      <c r="T1" t="s">
        <v>125</v>
      </c>
      <c r="U1" t="s">
        <v>121</v>
      </c>
      <c r="V1" t="s">
        <v>122</v>
      </c>
      <c r="W1" t="s">
        <v>126</v>
      </c>
      <c r="X1" t="s">
        <v>123</v>
      </c>
      <c r="Y1" t="s">
        <v>124</v>
      </c>
      <c r="AC1">
        <v>0.11501694819952127</v>
      </c>
      <c r="AD1">
        <v>0.10762771198698586</v>
      </c>
      <c r="AE1">
        <v>0.10954120056210569</v>
      </c>
      <c r="AF1">
        <v>0.10928878456028296</v>
      </c>
      <c r="AG1">
        <v>0.10911583917751494</v>
      </c>
      <c r="AH1">
        <v>0.10874169204013813</v>
      </c>
      <c r="AI1">
        <v>0.11417415648447385</v>
      </c>
    </row>
    <row r="2" spans="1:35" x14ac:dyDescent="0.35">
      <c r="A2" t="s">
        <v>29</v>
      </c>
      <c r="B2" s="2">
        <v>422</v>
      </c>
      <c r="C2" s="2" t="s">
        <v>63</v>
      </c>
      <c r="D2" s="2">
        <v>2626.72</v>
      </c>
      <c r="E2" s="2">
        <v>267.34000000000003</v>
      </c>
      <c r="F2" s="2">
        <v>-33.17</v>
      </c>
      <c r="G2" s="2">
        <v>-7.1952277657266812</v>
      </c>
      <c r="H2" s="2">
        <v>-0.84999999999999787</v>
      </c>
      <c r="I2" s="2">
        <v>3414.3399999999997</v>
      </c>
      <c r="J2" s="2">
        <v>-142.78</v>
      </c>
      <c r="K2" s="2">
        <v>-47.75</v>
      </c>
      <c r="L2">
        <v>164.7</v>
      </c>
      <c r="M2" s="3">
        <v>-9.7149082985291454E-3</v>
      </c>
      <c r="N2" t="s">
        <v>115</v>
      </c>
      <c r="O2" s="4">
        <f t="shared" ref="O2:O33" si="0">F2/E2</f>
        <v>-0.12407421261315178</v>
      </c>
      <c r="P2" s="2">
        <f>E2-F2</f>
        <v>300.51000000000005</v>
      </c>
      <c r="Q2" s="2">
        <f t="shared" ref="Q2:Q33" si="1">P2*10000000</f>
        <v>3005100000.0000005</v>
      </c>
      <c r="R2" s="2">
        <f>Q2/B2</f>
        <v>7121090.0473933658</v>
      </c>
      <c r="S2" s="2">
        <f t="shared" ref="S2:S33" ca="1" si="2">Q2*$AC$1*(1 + RANDBETWEEN(-10,10)/100)</f>
        <v>324899185.17231846</v>
      </c>
      <c r="T2" s="2">
        <f t="shared" ref="T2:T33" ca="1" si="3">Q2*$AD$1*(1 + RANDBETWEEN(-10,10)/100)</f>
        <v>329900678.03793305</v>
      </c>
      <c r="U2" s="2">
        <f t="shared" ref="U2:U33" ca="1" si="4">Q2*(1 + RANDBETWEEN(-10,10)/100)*$AE$1</f>
        <v>345641374.89964306</v>
      </c>
      <c r="V2" s="2">
        <f t="shared" ref="V2:V33" ca="1" si="5">Q2*$AF$1*(1 + RANDBETWEEN(-10,10)/100)</f>
        <v>338276438.2765696</v>
      </c>
      <c r="W2" s="2">
        <f t="shared" ref="W2:W33" ca="1" si="6">Q2*$AG$1*(1 + RANDBETWEEN(-10,10)/100)</f>
        <v>301671687.64736223</v>
      </c>
      <c r="X2" s="2">
        <f t="shared" ref="X2:X33" ca="1" si="7">Q2*$AH$1*(1 + RANDBETWEEN(-10,10)/100)</f>
        <v>333315251.92481554</v>
      </c>
      <c r="Y2" s="2">
        <f t="shared" ref="Y2:Y33" ca="1" si="8">Q2*$AI$1*(1 + RANDBETWEEN(-10,10)/100)</f>
        <v>312225329.46285808</v>
      </c>
    </row>
    <row r="3" spans="1:35" x14ac:dyDescent="0.35">
      <c r="A3" t="s">
        <v>42</v>
      </c>
      <c r="B3" s="2">
        <v>561</v>
      </c>
      <c r="C3" s="2" t="s">
        <v>64</v>
      </c>
      <c r="D3" s="2">
        <v>494.26</v>
      </c>
      <c r="E3" s="2">
        <v>104.84</v>
      </c>
      <c r="F3" s="2">
        <v>14.39</v>
      </c>
      <c r="G3" s="2">
        <v>7.1950000000000003</v>
      </c>
      <c r="H3" s="2">
        <v>23.81</v>
      </c>
      <c r="I3" s="2">
        <v>234.58</v>
      </c>
      <c r="J3" s="2">
        <v>23.67</v>
      </c>
      <c r="K3" s="2">
        <v>-14.63</v>
      </c>
      <c r="L3">
        <v>-2.78</v>
      </c>
      <c r="M3" s="3">
        <v>6.1343678062920966E-2</v>
      </c>
      <c r="O3" s="4">
        <f t="shared" si="0"/>
        <v>0.13725677222434185</v>
      </c>
      <c r="P3" s="2">
        <f>E3-F3</f>
        <v>90.45</v>
      </c>
      <c r="Q3" s="2">
        <f t="shared" si="1"/>
        <v>904500000</v>
      </c>
      <c r="R3" s="2">
        <f>Q3/B3</f>
        <v>1612299.4652406417</v>
      </c>
      <c r="S3" s="2">
        <f t="shared" ca="1" si="2"/>
        <v>94669874.978284955</v>
      </c>
      <c r="T3" s="2">
        <f t="shared" ca="1" si="3"/>
        <v>97349265.492228702</v>
      </c>
      <c r="U3" s="2">
        <f t="shared" ca="1" si="4"/>
        <v>107006417.18109858</v>
      </c>
      <c r="V3" s="2">
        <f t="shared" ca="1" si="5"/>
        <v>102805773.86016698</v>
      </c>
      <c r="W3" s="2">
        <f t="shared" ca="1" si="6"/>
        <v>90799654.413177282</v>
      </c>
      <c r="X3" s="2">
        <f t="shared" ca="1" si="7"/>
        <v>94422586.032292739</v>
      </c>
      <c r="Y3" s="2">
        <f t="shared" ca="1" si="8"/>
        <v>97074293.067794189</v>
      </c>
    </row>
    <row r="4" spans="1:35" x14ac:dyDescent="0.35">
      <c r="A4" t="s">
        <v>34</v>
      </c>
      <c r="B4" s="2">
        <v>1285</v>
      </c>
      <c r="C4" s="2" t="s">
        <v>65</v>
      </c>
      <c r="D4" s="2">
        <v>1693.75</v>
      </c>
      <c r="E4" s="2">
        <v>540.39</v>
      </c>
      <c r="F4" s="2">
        <v>129.02000000000001</v>
      </c>
      <c r="G4" s="2">
        <v>86.590604026845639</v>
      </c>
      <c r="H4" s="2">
        <v>215.92000000000002</v>
      </c>
      <c r="I4" s="2">
        <v>277.68</v>
      </c>
      <c r="J4" s="2">
        <v>144.56</v>
      </c>
      <c r="K4" s="2">
        <v>-7.79</v>
      </c>
      <c r="L4">
        <v>-146.1</v>
      </c>
      <c r="M4" s="3">
        <v>0.4646355517142034</v>
      </c>
      <c r="O4" s="4">
        <f t="shared" si="0"/>
        <v>0.23875349284775813</v>
      </c>
      <c r="P4" s="2">
        <f>E4-F4</f>
        <v>411.37</v>
      </c>
      <c r="Q4" s="2">
        <f t="shared" si="1"/>
        <v>4113700000</v>
      </c>
      <c r="R4" s="2">
        <f>Q4/B4</f>
        <v>3201322.9571984434</v>
      </c>
      <c r="S4" s="2">
        <f t="shared" ca="1" si="2"/>
        <v>449487958.8179521</v>
      </c>
      <c r="T4" s="2">
        <f t="shared" ca="1" si="3"/>
        <v>460458043.55289823</v>
      </c>
      <c r="U4" s="2">
        <f t="shared" ca="1" si="4"/>
        <v>455125833.11985749</v>
      </c>
      <c r="V4" s="2">
        <f t="shared" ca="1" si="5"/>
        <v>436093834.85426688</v>
      </c>
      <c r="W4" s="2">
        <f t="shared" ca="1" si="6"/>
        <v>493756810.38699752</v>
      </c>
      <c r="X4" s="2">
        <f t="shared" ca="1" si="7"/>
        <v>447330698.54551625</v>
      </c>
      <c r="Y4" s="2">
        <f t="shared" ca="1" si="8"/>
        <v>450891098.4289729</v>
      </c>
    </row>
    <row r="5" spans="1:35" x14ac:dyDescent="0.35">
      <c r="A5" t="s">
        <v>55</v>
      </c>
      <c r="B5" s="1">
        <v>618</v>
      </c>
      <c r="C5" s="2" t="s">
        <v>66</v>
      </c>
      <c r="D5" s="2">
        <v>19929.830000000002</v>
      </c>
      <c r="E5" s="2">
        <v>2360.08</v>
      </c>
      <c r="F5" s="2">
        <v>381.87</v>
      </c>
      <c r="G5" s="2">
        <v>27.179359430604983</v>
      </c>
      <c r="H5" s="2">
        <v>597.76</v>
      </c>
      <c r="I5" s="2">
        <v>2946.46</v>
      </c>
      <c r="J5" s="2">
        <v>425.99</v>
      </c>
      <c r="K5" s="2">
        <v>-91.8</v>
      </c>
      <c r="L5">
        <v>-91.81</v>
      </c>
      <c r="M5" s="3">
        <v>0.12960298120456412</v>
      </c>
      <c r="O5" s="4">
        <f t="shared" si="0"/>
        <v>0.16180383715806246</v>
      </c>
      <c r="P5" s="2">
        <f>E5-F5</f>
        <v>1978.21</v>
      </c>
      <c r="Q5" s="2">
        <f t="shared" si="1"/>
        <v>19782100000</v>
      </c>
      <c r="R5" s="2">
        <f>Q5/B5</f>
        <v>32009870.550161812</v>
      </c>
      <c r="S5" s="2">
        <f t="shared" ca="1" si="2"/>
        <v>2161512932.4288621</v>
      </c>
      <c r="T5" s="2">
        <f t="shared" ca="1" si="3"/>
        <v>2086520118.0717978</v>
      </c>
      <c r="U5" s="2">
        <f t="shared" ca="1" si="4"/>
        <v>2383650482.0035939</v>
      </c>
      <c r="V5" s="2">
        <f t="shared" ca="1" si="5"/>
        <v>2118722431.7489741</v>
      </c>
      <c r="W5" s="2">
        <f t="shared" ca="1" si="6"/>
        <v>2352809081.9909348</v>
      </c>
      <c r="X5" s="2">
        <f t="shared" ca="1" si="7"/>
        <v>2108116245.585072</v>
      </c>
      <c r="Y5" s="2">
        <f t="shared" ca="1" si="8"/>
        <v>2190846443.5617647</v>
      </c>
    </row>
    <row r="6" spans="1:35" x14ac:dyDescent="0.35">
      <c r="A6" t="s">
        <v>28</v>
      </c>
      <c r="B6" s="2">
        <v>1834</v>
      </c>
      <c r="C6" s="2" t="s">
        <v>67</v>
      </c>
      <c r="D6" s="2">
        <v>4123.6400000000003</v>
      </c>
      <c r="E6" s="2">
        <v>297.23</v>
      </c>
      <c r="F6" s="2">
        <v>26.23</v>
      </c>
      <c r="G6" s="2">
        <v>22.042016806722689</v>
      </c>
      <c r="H6" s="2">
        <v>59.760000000000005</v>
      </c>
      <c r="I6" s="2">
        <v>165.13</v>
      </c>
      <c r="J6" s="2">
        <v>-23.48</v>
      </c>
      <c r="K6" s="2">
        <v>32.700000000000003</v>
      </c>
      <c r="L6">
        <v>-9.14</v>
      </c>
      <c r="M6" s="3">
        <v>0.15884454672076548</v>
      </c>
      <c r="O6" s="4">
        <f t="shared" si="0"/>
        <v>8.8248157992127305E-2</v>
      </c>
      <c r="P6" s="2">
        <f>E6-F6</f>
        <v>271</v>
      </c>
      <c r="Q6" s="2">
        <f t="shared" si="1"/>
        <v>2710000000</v>
      </c>
      <c r="R6" s="2">
        <f>Q6/B6</f>
        <v>1477644.4929116685</v>
      </c>
      <c r="S6" s="2">
        <f t="shared" ca="1" si="2"/>
        <v>280526336.6586324</v>
      </c>
      <c r="T6" s="2">
        <f t="shared" ca="1" si="3"/>
        <v>282920966.50018972</v>
      </c>
      <c r="U6" s="2">
        <f t="shared" ca="1" si="4"/>
        <v>290919520.45284027</v>
      </c>
      <c r="V6" s="2">
        <f t="shared" ca="1" si="5"/>
        <v>266555345.54253012</v>
      </c>
      <c r="W6" s="2">
        <f t="shared" ca="1" si="6"/>
        <v>310489120.37961882</v>
      </c>
      <c r="X6" s="2">
        <f t="shared" ca="1" si="7"/>
        <v>277008586.3030479</v>
      </c>
      <c r="Y6" s="2">
        <f t="shared" ca="1" si="8"/>
        <v>309411964.07292414</v>
      </c>
    </row>
    <row r="7" spans="1:35" x14ac:dyDescent="0.35">
      <c r="A7" t="s">
        <v>27</v>
      </c>
      <c r="B7" s="2">
        <v>3000</v>
      </c>
      <c r="C7" s="2" t="s">
        <v>68</v>
      </c>
      <c r="D7" s="2">
        <v>4853.87</v>
      </c>
      <c r="E7" s="2">
        <v>1193.1400000000001</v>
      </c>
      <c r="F7" s="2">
        <v>186.17</v>
      </c>
      <c r="G7" s="2">
        <v>33.72644927536232</v>
      </c>
      <c r="H7" s="2">
        <v>270.89</v>
      </c>
      <c r="I7" s="2">
        <v>1503.26</v>
      </c>
      <c r="J7" s="2">
        <v>157.1</v>
      </c>
      <c r="K7" s="2">
        <v>-421.23</v>
      </c>
      <c r="L7">
        <v>283.11</v>
      </c>
      <c r="M7" s="3">
        <v>0.12384417865173024</v>
      </c>
      <c r="O7" s="4">
        <f t="shared" si="0"/>
        <v>0.15603365908443265</v>
      </c>
      <c r="P7" s="2">
        <f>E7-F7</f>
        <v>1006.9700000000001</v>
      </c>
      <c r="Q7" s="2">
        <f t="shared" si="1"/>
        <v>10069700000.000002</v>
      </c>
      <c r="R7" s="2">
        <f>Q7/B7</f>
        <v>3356566.6666666674</v>
      </c>
      <c r="S7" s="2">
        <f t="shared" ca="1" si="2"/>
        <v>1053949408.5890948</v>
      </c>
      <c r="T7" s="2">
        <f t="shared" ca="1" si="3"/>
        <v>975400894.25581646</v>
      </c>
      <c r="U7" s="2">
        <f t="shared" ca="1" si="4"/>
        <v>1114077497.5732381</v>
      </c>
      <c r="V7" s="2">
        <f t="shared" ca="1" si="5"/>
        <v>1144525484.8421488</v>
      </c>
      <c r="W7" s="2">
        <f t="shared" ca="1" si="6"/>
        <v>1142714316.3964553</v>
      </c>
      <c r="X7" s="2">
        <f t="shared" ca="1" si="7"/>
        <v>1084046254.1732132</v>
      </c>
      <c r="Y7" s="2">
        <f t="shared" ca="1" si="8"/>
        <v>1264669453.9068773</v>
      </c>
    </row>
    <row r="8" spans="1:35" x14ac:dyDescent="0.35">
      <c r="A8" t="s">
        <v>19</v>
      </c>
      <c r="B8" s="2">
        <v>12000</v>
      </c>
      <c r="C8" s="2" t="s">
        <v>69</v>
      </c>
      <c r="D8" s="2">
        <v>10183.86</v>
      </c>
      <c r="E8" s="2">
        <v>5483.7199999999993</v>
      </c>
      <c r="F8" s="2">
        <v>516.76</v>
      </c>
      <c r="G8" s="2">
        <v>18.595178121626486</v>
      </c>
      <c r="H8" s="2">
        <v>802.94</v>
      </c>
      <c r="I8" s="2">
        <v>3478.23</v>
      </c>
      <c r="J8" s="2">
        <v>587.52</v>
      </c>
      <c r="K8" s="2">
        <v>-437.54</v>
      </c>
      <c r="L8">
        <v>-215.47</v>
      </c>
      <c r="M8" s="3">
        <v>0.14856981855713969</v>
      </c>
      <c r="O8" s="4">
        <f t="shared" si="0"/>
        <v>9.4235300124732857E-2</v>
      </c>
      <c r="P8" s="2">
        <f>E8-F8</f>
        <v>4966.9599999999991</v>
      </c>
      <c r="Q8" s="2">
        <f t="shared" si="1"/>
        <v>49669599999.999992</v>
      </c>
      <c r="R8" s="2">
        <f>Q8/B8</f>
        <v>4139133.3333333326</v>
      </c>
      <c r="S8" s="2">
        <f t="shared" ca="1" si="2"/>
        <v>5998488100.8054876</v>
      </c>
      <c r="T8" s="2">
        <f t="shared" ca="1" si="3"/>
        <v>5345825403.3087921</v>
      </c>
      <c r="U8" s="2">
        <f t="shared" ca="1" si="4"/>
        <v>5930545700.8291245</v>
      </c>
      <c r="V8" s="2">
        <f t="shared" ca="1" si="5"/>
        <v>5591180120.0032921</v>
      </c>
      <c r="W8" s="2">
        <f t="shared" ca="1" si="6"/>
        <v>5148753081.3309202</v>
      </c>
      <c r="X8" s="2">
        <f t="shared" ca="1" si="7"/>
        <v>5455167910.4264126</v>
      </c>
      <c r="Y8" s="2">
        <f t="shared" ca="1" si="8"/>
        <v>5387435448.7751608</v>
      </c>
    </row>
    <row r="9" spans="1:35" x14ac:dyDescent="0.35">
      <c r="A9" t="s">
        <v>58</v>
      </c>
      <c r="B9" s="1">
        <v>3436</v>
      </c>
      <c r="C9" s="2" t="s">
        <v>70</v>
      </c>
      <c r="D9" s="2">
        <v>9142.02</v>
      </c>
      <c r="E9" s="2">
        <v>5898.7</v>
      </c>
      <c r="F9" s="2">
        <v>204.78</v>
      </c>
      <c r="G9" s="2">
        <v>12.09568812758417</v>
      </c>
      <c r="H9" s="2">
        <v>469.53999999999996</v>
      </c>
      <c r="I9" s="2">
        <v>758.74</v>
      </c>
      <c r="J9" s="2">
        <v>-87.61</v>
      </c>
      <c r="K9" s="2">
        <v>-104.85</v>
      </c>
      <c r="L9">
        <v>192.15</v>
      </c>
      <c r="M9" s="3">
        <v>0.26989482563196882</v>
      </c>
      <c r="O9" s="4">
        <f t="shared" si="0"/>
        <v>3.4716123891704954E-2</v>
      </c>
      <c r="P9" s="2">
        <f>E9-F9</f>
        <v>5693.92</v>
      </c>
      <c r="Q9" s="2">
        <f t="shared" si="1"/>
        <v>56939200000</v>
      </c>
      <c r="R9" s="2">
        <f>Q9/B9</f>
        <v>16571362.048894063</v>
      </c>
      <c r="S9" s="2">
        <f t="shared" ca="1" si="2"/>
        <v>7007401128.1067343</v>
      </c>
      <c r="T9" s="2">
        <f t="shared" ca="1" si="3"/>
        <v>6741059400.2063236</v>
      </c>
      <c r="U9" s="2">
        <f t="shared" ca="1" si="4"/>
        <v>5613469494.3412638</v>
      </c>
      <c r="V9" s="2">
        <f t="shared" ca="1" si="5"/>
        <v>6098359642.5981665</v>
      </c>
      <c r="W9" s="2">
        <f t="shared" ca="1" si="6"/>
        <v>6461487333.7002125</v>
      </c>
      <c r="X9" s="2">
        <f t="shared" ca="1" si="7"/>
        <v>6501248198.9824247</v>
      </c>
      <c r="Y9" s="2">
        <f t="shared" ca="1" si="8"/>
        <v>6956054090.0638065</v>
      </c>
    </row>
    <row r="10" spans="1:35" x14ac:dyDescent="0.35">
      <c r="A10" t="s">
        <v>26</v>
      </c>
      <c r="B10" s="2">
        <v>935</v>
      </c>
      <c r="C10" s="2" t="s">
        <v>71</v>
      </c>
      <c r="D10" s="2">
        <v>5079.7700000000004</v>
      </c>
      <c r="E10" s="2">
        <v>515.69000000000005</v>
      </c>
      <c r="F10" s="2">
        <v>147.19</v>
      </c>
      <c r="G10" s="2">
        <v>27.056985294117645</v>
      </c>
      <c r="H10" s="2">
        <v>235.01</v>
      </c>
      <c r="I10" s="2">
        <v>790.74</v>
      </c>
      <c r="J10" s="2">
        <v>113.15</v>
      </c>
      <c r="K10" s="2">
        <v>-102.02</v>
      </c>
      <c r="L10">
        <v>-17.23</v>
      </c>
      <c r="M10" s="3">
        <v>0.18614209474669297</v>
      </c>
      <c r="O10" s="4">
        <f t="shared" si="0"/>
        <v>0.28542341329093057</v>
      </c>
      <c r="P10" s="2">
        <f>E10-F10</f>
        <v>368.50000000000006</v>
      </c>
      <c r="Q10" s="2">
        <f t="shared" si="1"/>
        <v>3685000000.0000005</v>
      </c>
      <c r="R10" s="2">
        <f>Q10/B10</f>
        <v>3941176.4705882357</v>
      </c>
      <c r="S10" s="2">
        <f t="shared" ca="1" si="2"/>
        <v>423837454.11523592</v>
      </c>
      <c r="T10" s="2">
        <f t="shared" ca="1" si="3"/>
        <v>424370686.97908592</v>
      </c>
      <c r="U10" s="2">
        <f t="shared" ca="1" si="4"/>
        <v>367329984.90493715</v>
      </c>
      <c r="V10" s="2">
        <f t="shared" ca="1" si="5"/>
        <v>438974796.50406063</v>
      </c>
      <c r="W10" s="2">
        <f t="shared" ca="1" si="6"/>
        <v>442301054.10605687</v>
      </c>
      <c r="X10" s="2">
        <f t="shared" ca="1" si="7"/>
        <v>416741660.57462549</v>
      </c>
      <c r="Y10" s="2">
        <f t="shared" ca="1" si="8"/>
        <v>462804943.30981487</v>
      </c>
    </row>
    <row r="11" spans="1:35" x14ac:dyDescent="0.35">
      <c r="A11" t="s">
        <v>30</v>
      </c>
      <c r="B11" s="2">
        <v>2500</v>
      </c>
      <c r="C11" s="2" t="s">
        <v>72</v>
      </c>
      <c r="D11" s="2">
        <v>2322.0300000000002</v>
      </c>
      <c r="E11" s="2">
        <v>440.35</v>
      </c>
      <c r="F11" s="2">
        <v>63.24</v>
      </c>
      <c r="G11" s="2">
        <v>36.344827586206897</v>
      </c>
      <c r="H11" s="2">
        <v>105.63000000000001</v>
      </c>
      <c r="I11" s="2">
        <v>411.88</v>
      </c>
      <c r="J11" s="2">
        <v>5.68</v>
      </c>
      <c r="K11" s="2">
        <v>-52.84</v>
      </c>
      <c r="L11">
        <v>48.53</v>
      </c>
      <c r="M11" s="3">
        <v>0.15353986598038263</v>
      </c>
      <c r="O11" s="4">
        <f t="shared" si="0"/>
        <v>0.14361303508572726</v>
      </c>
      <c r="P11" s="2">
        <f>E11-F11</f>
        <v>377.11</v>
      </c>
      <c r="Q11" s="2">
        <f t="shared" si="1"/>
        <v>3771100000</v>
      </c>
      <c r="R11" s="2">
        <f>Q11/B11</f>
        <v>1508440</v>
      </c>
      <c r="S11" s="2">
        <f t="shared" ca="1" si="2"/>
        <v>399041180.28679752</v>
      </c>
      <c r="T11" s="2">
        <f t="shared" ca="1" si="3"/>
        <v>418051110.61434603</v>
      </c>
      <c r="U11" s="2">
        <f t="shared" ca="1" si="4"/>
        <v>437876270.72614217</v>
      </c>
      <c r="V11" s="2">
        <f t="shared" ca="1" si="5"/>
        <v>453352829.0008114</v>
      </c>
      <c r="W11" s="2">
        <f t="shared" ca="1" si="6"/>
        <v>411486741.12232661</v>
      </c>
      <c r="X11" s="2">
        <f t="shared" ca="1" si="7"/>
        <v>430579584.59519321</v>
      </c>
      <c r="Y11" s="2">
        <f t="shared" ca="1" si="8"/>
        <v>452090269.59452933</v>
      </c>
    </row>
    <row r="12" spans="1:35" x14ac:dyDescent="0.35">
      <c r="A12" t="s">
        <v>8</v>
      </c>
      <c r="B12" s="2">
        <v>350000</v>
      </c>
      <c r="C12" s="2" t="s">
        <v>73</v>
      </c>
      <c r="D12" s="2">
        <v>41346.76</v>
      </c>
      <c r="E12" s="2">
        <v>12188</v>
      </c>
      <c r="F12" s="2">
        <v>812.1</v>
      </c>
      <c r="G12" s="2">
        <v>24.285287081339714</v>
      </c>
      <c r="H12" s="2">
        <v>1906.7</v>
      </c>
      <c r="I12" s="2">
        <v>6379.2</v>
      </c>
      <c r="J12" s="2">
        <v>1237.0999999999999</v>
      </c>
      <c r="K12" s="2">
        <v>-2438.1</v>
      </c>
      <c r="L12">
        <v>1675.3</v>
      </c>
      <c r="M12" s="3">
        <v>0.1273043641835967</v>
      </c>
      <c r="O12" s="4">
        <f t="shared" si="0"/>
        <v>6.6631112569740733E-2</v>
      </c>
      <c r="P12" s="2">
        <f>E12-F12</f>
        <v>11375.9</v>
      </c>
      <c r="Q12" s="2">
        <f t="shared" si="1"/>
        <v>113759000000</v>
      </c>
      <c r="R12" s="2">
        <f>Q12/B12</f>
        <v>325025.71428571426</v>
      </c>
      <c r="S12" s="2">
        <f t="shared" ca="1" si="2"/>
        <v>11775791709.206406</v>
      </c>
      <c r="T12" s="2">
        <f t="shared" ca="1" si="3"/>
        <v>12488493305.686075</v>
      </c>
      <c r="U12" s="2">
        <f t="shared" ca="1" si="4"/>
        <v>11589006614.31246</v>
      </c>
      <c r="V12" s="2">
        <f t="shared" ca="1" si="5"/>
        <v>12308257014.365297</v>
      </c>
      <c r="W12" s="2">
        <f t="shared" ca="1" si="6"/>
        <v>12537037836.484873</v>
      </c>
      <c r="X12" s="2">
        <f t="shared" ca="1" si="7"/>
        <v>11751828837.554369</v>
      </c>
      <c r="Y12" s="2">
        <f t="shared" ca="1" si="8"/>
        <v>13507871382.217953</v>
      </c>
    </row>
    <row r="13" spans="1:35" x14ac:dyDescent="0.35">
      <c r="A13" t="s">
        <v>9</v>
      </c>
      <c r="B13" s="1">
        <v>12022</v>
      </c>
      <c r="C13" s="2" t="s">
        <v>74</v>
      </c>
      <c r="D13" s="2">
        <v>9994.08</v>
      </c>
      <c r="E13" s="2">
        <v>7457</v>
      </c>
      <c r="F13" s="2">
        <v>615.70000000000005</v>
      </c>
      <c r="G13" s="2">
        <v>55.468468468468473</v>
      </c>
      <c r="H13" s="2">
        <v>1213.4000000000001</v>
      </c>
      <c r="I13" s="2">
        <v>5309.5</v>
      </c>
      <c r="J13" s="2">
        <v>789.9</v>
      </c>
      <c r="K13" s="2">
        <v>-134.1</v>
      </c>
      <c r="L13">
        <v>-58.2</v>
      </c>
      <c r="M13" s="3">
        <v>0.11596195498634523</v>
      </c>
      <c r="O13" s="4">
        <f t="shared" si="0"/>
        <v>8.2566715837468163E-2</v>
      </c>
      <c r="P13" s="2">
        <f>E13-F13</f>
        <v>6841.3</v>
      </c>
      <c r="Q13" s="2">
        <f t="shared" si="1"/>
        <v>68413000000</v>
      </c>
      <c r="R13" s="2">
        <f>Q13/B13</f>
        <v>5690650.4741307599</v>
      </c>
      <c r="S13" s="2">
        <f t="shared" ca="1" si="2"/>
        <v>7553908298.086894</v>
      </c>
      <c r="T13" s="2">
        <f t="shared" ca="1" si="3"/>
        <v>7731291393.1739473</v>
      </c>
      <c r="U13" s="2">
        <f t="shared" ca="1" si="4"/>
        <v>7344161310.9742298</v>
      </c>
      <c r="V13" s="2">
        <f t="shared" ca="1" si="5"/>
        <v>8074915507.5724497</v>
      </c>
      <c r="W13" s="2">
        <f t="shared" ca="1" si="6"/>
        <v>7539591324.7078438</v>
      </c>
      <c r="X13" s="2">
        <f t="shared" ca="1" si="7"/>
        <v>8108886461.5207481</v>
      </c>
      <c r="Y13" s="2">
        <f t="shared" ca="1" si="8"/>
        <v>7342336773.5179701</v>
      </c>
    </row>
    <row r="14" spans="1:35" x14ac:dyDescent="0.35">
      <c r="A14" t="s">
        <v>17</v>
      </c>
      <c r="B14" s="2">
        <v>5800</v>
      </c>
      <c r="C14" s="2" t="s">
        <v>75</v>
      </c>
      <c r="D14" s="2">
        <v>14615.45</v>
      </c>
      <c r="E14" s="2">
        <v>2843.2000000000003</v>
      </c>
      <c r="F14" s="2">
        <v>220.6</v>
      </c>
      <c r="G14" s="2">
        <v>65.850746268656707</v>
      </c>
      <c r="H14" s="2">
        <v>389.1</v>
      </c>
      <c r="I14" s="2">
        <v>1752.6999999999998</v>
      </c>
      <c r="J14" s="2">
        <v>397</v>
      </c>
      <c r="K14" s="2">
        <v>-190.9</v>
      </c>
      <c r="L14">
        <v>-22.4</v>
      </c>
      <c r="M14" s="3">
        <v>0.12586295429908143</v>
      </c>
      <c r="O14" s="4">
        <f t="shared" si="0"/>
        <v>7.7588632526730442E-2</v>
      </c>
      <c r="P14" s="2">
        <f>E14-F14</f>
        <v>2622.6000000000004</v>
      </c>
      <c r="Q14" s="2">
        <f t="shared" si="1"/>
        <v>26226000000.000004</v>
      </c>
      <c r="R14" s="2">
        <f>Q14/B14</f>
        <v>4521724.1379310349</v>
      </c>
      <c r="S14" s="2">
        <f t="shared" ca="1" si="2"/>
        <v>3137091862.8198709</v>
      </c>
      <c r="T14" s="2">
        <f t="shared" ca="1" si="3"/>
        <v>3076682368.2820539</v>
      </c>
      <c r="U14" s="2">
        <f t="shared" ca="1" si="4"/>
        <v>2700457874.3852773</v>
      </c>
      <c r="V14" s="2">
        <f t="shared" ca="1" si="5"/>
        <v>2722897280.684082</v>
      </c>
      <c r="W14" s="2">
        <f t="shared" ca="1" si="6"/>
        <v>2861671998.2695074</v>
      </c>
      <c r="X14" s="2">
        <f t="shared" ca="1" si="7"/>
        <v>3137045576.9891295</v>
      </c>
      <c r="Y14" s="2">
        <f t="shared" ca="1" si="8"/>
        <v>2784728228.0044847</v>
      </c>
    </row>
    <row r="15" spans="1:35" x14ac:dyDescent="0.35">
      <c r="A15" t="s">
        <v>25</v>
      </c>
      <c r="B15" s="2">
        <v>5098</v>
      </c>
      <c r="C15" s="2" t="s">
        <v>77</v>
      </c>
      <c r="D15" s="2">
        <v>5686.81</v>
      </c>
      <c r="E15" s="2">
        <v>2150.06</v>
      </c>
      <c r="F15" s="2">
        <v>184.66</v>
      </c>
      <c r="G15" s="2">
        <v>12.124753775443203</v>
      </c>
      <c r="H15" s="2">
        <v>444.11</v>
      </c>
      <c r="I15" s="2">
        <v>1574.58</v>
      </c>
      <c r="J15" s="2">
        <v>236.42</v>
      </c>
      <c r="K15" s="2">
        <v>-731.46</v>
      </c>
      <c r="L15">
        <v>499.46</v>
      </c>
      <c r="M15" s="3">
        <v>0.11727571796923625</v>
      </c>
      <c r="O15" s="4">
        <f t="shared" si="0"/>
        <v>8.5885975275108606E-2</v>
      </c>
      <c r="P15" s="2">
        <f>E15-F15</f>
        <v>1965.3999999999999</v>
      </c>
      <c r="Q15" s="2">
        <f t="shared" si="1"/>
        <v>19654000000</v>
      </c>
      <c r="R15" s="2">
        <f>Q15/B15</f>
        <v>3855237.3479796001</v>
      </c>
      <c r="S15" s="2">
        <f t="shared" ca="1" si="2"/>
        <v>2350964823.9099269</v>
      </c>
      <c r="T15" s="2">
        <f t="shared" ca="1" si="3"/>
        <v>1967242997.7947645</v>
      </c>
      <c r="U15" s="2">
        <f t="shared" ca="1" si="4"/>
        <v>2368215031.4323878</v>
      </c>
      <c r="V15" s="2">
        <f t="shared" ca="1" si="5"/>
        <v>2105002536.3128452</v>
      </c>
      <c r="W15" s="2">
        <f t="shared" ca="1" si="6"/>
        <v>2273236465.3865714</v>
      </c>
      <c r="X15" s="2">
        <f t="shared" ca="1" si="7"/>
        <v>1944860385.974756</v>
      </c>
      <c r="Y15" s="2">
        <f t="shared" ca="1" si="8"/>
        <v>2243978871.5458488</v>
      </c>
    </row>
    <row r="16" spans="1:35" x14ac:dyDescent="0.35">
      <c r="A16" t="s">
        <v>13</v>
      </c>
      <c r="B16" s="2">
        <v>22640</v>
      </c>
      <c r="C16" s="2" t="s">
        <v>76</v>
      </c>
      <c r="D16" s="2">
        <v>388107.2</v>
      </c>
      <c r="E16" s="2">
        <v>119540</v>
      </c>
      <c r="F16" s="2">
        <v>17390</v>
      </c>
      <c r="G16" s="2">
        <v>64.082249327486451</v>
      </c>
      <c r="H16" s="2">
        <v>28199</v>
      </c>
      <c r="I16" s="2">
        <v>69655</v>
      </c>
      <c r="J16" s="2">
        <v>22261</v>
      </c>
      <c r="K16" s="2">
        <v>-4896</v>
      </c>
      <c r="L16">
        <v>-18561</v>
      </c>
      <c r="M16" s="3">
        <v>0.24965903380948962</v>
      </c>
      <c r="O16" s="4">
        <f t="shared" si="0"/>
        <v>0.14547431821984272</v>
      </c>
      <c r="P16" s="2">
        <f>E16-F16</f>
        <v>102150</v>
      </c>
      <c r="Q16" s="2">
        <f t="shared" si="1"/>
        <v>1021500000000</v>
      </c>
      <c r="R16" s="2">
        <f>Q16/B16</f>
        <v>45119257.950530037</v>
      </c>
      <c r="S16" s="2">
        <f t="shared" ca="1" si="2"/>
        <v>119839608837.52719</v>
      </c>
      <c r="T16" s="2">
        <f t="shared" ca="1" si="3"/>
        <v>115438793184.44136</v>
      </c>
      <c r="U16" s="2">
        <f t="shared" ca="1" si="4"/>
        <v>111896336374.19096</v>
      </c>
      <c r="V16" s="2">
        <f t="shared" ca="1" si="5"/>
        <v>116104033165.4622</v>
      </c>
      <c r="W16" s="2">
        <f t="shared" ca="1" si="6"/>
        <v>111461829719.83151</v>
      </c>
      <c r="X16" s="2">
        <f t="shared" ca="1" si="7"/>
        <v>118855213108.33118</v>
      </c>
      <c r="Y16" s="2">
        <f t="shared" ca="1" si="8"/>
        <v>117795189857.37894</v>
      </c>
    </row>
    <row r="17" spans="1:25" x14ac:dyDescent="0.35">
      <c r="A17" t="s">
        <v>15</v>
      </c>
      <c r="B17" s="2">
        <v>33800</v>
      </c>
      <c r="C17" s="2" t="s">
        <v>78</v>
      </c>
      <c r="D17" s="2">
        <v>28946.75</v>
      </c>
      <c r="E17" s="2">
        <v>13707.6</v>
      </c>
      <c r="F17" s="2">
        <v>1369.2</v>
      </c>
      <c r="G17" s="2">
        <v>22.409165302782323</v>
      </c>
      <c r="H17" s="2">
        <v>2189.5</v>
      </c>
      <c r="I17" s="2">
        <v>6315.7999999999993</v>
      </c>
      <c r="J17" s="2">
        <v>1739.1</v>
      </c>
      <c r="K17" s="2">
        <v>-996.2</v>
      </c>
      <c r="L17">
        <v>-830.8</v>
      </c>
      <c r="M17" s="3">
        <v>0.21678963868393555</v>
      </c>
      <c r="O17" s="4">
        <f t="shared" si="0"/>
        <v>9.9886194519828414E-2</v>
      </c>
      <c r="P17" s="2">
        <f>E17-F17</f>
        <v>12338.4</v>
      </c>
      <c r="Q17" s="2">
        <f t="shared" si="1"/>
        <v>123384000000</v>
      </c>
      <c r="R17" s="2">
        <f>Q17/B17</f>
        <v>3650414.2011834318</v>
      </c>
      <c r="S17" s="2">
        <f t="shared" ca="1" si="2"/>
        <v>12914038534.351257</v>
      </c>
      <c r="T17" s="2">
        <f t="shared" ca="1" si="3"/>
        <v>14474696001.224468</v>
      </c>
      <c r="U17" s="2">
        <f t="shared" ca="1" si="4"/>
        <v>13245318860.351751</v>
      </c>
      <c r="V17" s="2">
        <f t="shared" ca="1" si="5"/>
        <v>14158711763.895252</v>
      </c>
      <c r="W17" s="2">
        <f t="shared" ca="1" si="6"/>
        <v>12116833830.970654</v>
      </c>
      <c r="X17" s="2">
        <f t="shared" ca="1" si="7"/>
        <v>14758683423.748444</v>
      </c>
      <c r="Y17" s="2">
        <f t="shared" ca="1" si="8"/>
        <v>13382900917.496304</v>
      </c>
    </row>
    <row r="18" spans="1:25" x14ac:dyDescent="0.35">
      <c r="A18" t="s">
        <v>33</v>
      </c>
      <c r="B18" s="2">
        <v>1195</v>
      </c>
      <c r="C18" s="2" t="s">
        <v>80</v>
      </c>
      <c r="D18" s="2">
        <v>1682.97</v>
      </c>
      <c r="E18" s="2">
        <v>408.2</v>
      </c>
      <c r="F18" s="2">
        <v>37.97</v>
      </c>
      <c r="G18" s="2">
        <v>3.8943589743589744</v>
      </c>
      <c r="H18" s="2">
        <v>80.290000000000006</v>
      </c>
      <c r="I18" s="2">
        <v>332.23</v>
      </c>
      <c r="J18" s="2">
        <v>50.03</v>
      </c>
      <c r="K18" s="2">
        <v>-27.33</v>
      </c>
      <c r="L18">
        <v>-13</v>
      </c>
      <c r="M18" s="3">
        <v>0.11428829425398067</v>
      </c>
      <c r="O18" s="4">
        <f t="shared" si="0"/>
        <v>9.3018128368446834E-2</v>
      </c>
      <c r="P18" s="2">
        <f>E18-F18</f>
        <v>370.23</v>
      </c>
      <c r="Q18" s="2">
        <f t="shared" si="1"/>
        <v>3702300000</v>
      </c>
      <c r="R18" s="2">
        <f>Q18/B18</f>
        <v>3098158.9958158997</v>
      </c>
      <c r="S18" s="2">
        <f t="shared" ca="1" si="2"/>
        <v>404535884.95313317</v>
      </c>
      <c r="T18" s="2">
        <f t="shared" ca="1" si="3"/>
        <v>394485377.3085236</v>
      </c>
      <c r="U18" s="2">
        <f t="shared" ca="1" si="4"/>
        <v>397443299.10426223</v>
      </c>
      <c r="V18" s="2">
        <f t="shared" ca="1" si="5"/>
        <v>392481271.06520951</v>
      </c>
      <c r="W18" s="2">
        <f t="shared" ca="1" si="6"/>
        <v>432258141.3839975</v>
      </c>
      <c r="X18" s="2">
        <f t="shared" ca="1" si="7"/>
        <v>386490591.78259522</v>
      </c>
      <c r="Y18" s="2">
        <f t="shared" ca="1" si="8"/>
        <v>452296468.1211403</v>
      </c>
    </row>
    <row r="19" spans="1:25" x14ac:dyDescent="0.35">
      <c r="A19" t="s">
        <v>4</v>
      </c>
      <c r="B19" s="2">
        <v>337000</v>
      </c>
      <c r="C19" s="2" t="s">
        <v>81</v>
      </c>
      <c r="D19" s="2">
        <v>518105.18</v>
      </c>
      <c r="E19" s="2">
        <v>166590</v>
      </c>
      <c r="F19" s="2">
        <v>26713</v>
      </c>
      <c r="G19" s="2">
        <v>64.317530638287636</v>
      </c>
      <c r="H19" s="2">
        <v>42763</v>
      </c>
      <c r="I19" s="2">
        <v>95818</v>
      </c>
      <c r="J19" s="2">
        <v>35694</v>
      </c>
      <c r="K19" s="2">
        <v>-1864</v>
      </c>
      <c r="L19">
        <v>-24161</v>
      </c>
      <c r="M19" s="3">
        <v>0.27878895405873633</v>
      </c>
      <c r="O19" s="4">
        <f t="shared" si="0"/>
        <v>0.16035176181043279</v>
      </c>
      <c r="P19" s="2">
        <f>E19-F19</f>
        <v>139877</v>
      </c>
      <c r="Q19" s="2">
        <f t="shared" si="1"/>
        <v>1398770000000</v>
      </c>
      <c r="R19" s="2">
        <f>Q19/B19</f>
        <v>4150652.8189910981</v>
      </c>
      <c r="S19" s="2">
        <f t="shared" ca="1" si="2"/>
        <v>164099901765.70526</v>
      </c>
      <c r="T19" s="2">
        <f t="shared" ca="1" si="3"/>
        <v>165601056165.63983</v>
      </c>
      <c r="U19" s="2">
        <f t="shared" ca="1" si="4"/>
        <v>137900650599.23093</v>
      </c>
      <c r="V19" s="2">
        <f t="shared" ca="1" si="5"/>
        <v>139111584593.24216</v>
      </c>
      <c r="W19" s="2">
        <f t="shared" ca="1" si="6"/>
        <v>160259360484.64923</v>
      </c>
      <c r="X19" s="2">
        <f t="shared" ca="1" si="7"/>
        <v>152104616574.98401</v>
      </c>
      <c r="Y19" s="2">
        <f t="shared" ca="1" si="8"/>
        <v>151718215622.49811</v>
      </c>
    </row>
    <row r="20" spans="1:25" x14ac:dyDescent="0.35">
      <c r="A20" t="s">
        <v>20</v>
      </c>
      <c r="B20" s="2">
        <v>5900</v>
      </c>
      <c r="C20" s="2" t="s">
        <v>82</v>
      </c>
      <c r="D20" s="2">
        <v>9137.58</v>
      </c>
      <c r="E20" s="2">
        <v>2577.0300000000002</v>
      </c>
      <c r="F20" s="2">
        <v>332.77</v>
      </c>
      <c r="G20" s="2">
        <v>23.957523398128146</v>
      </c>
      <c r="H20" s="2">
        <v>641.39</v>
      </c>
      <c r="I20" s="2">
        <v>2785.8399999999997</v>
      </c>
      <c r="J20" s="2">
        <v>431.36</v>
      </c>
      <c r="K20" s="2">
        <v>-243.96</v>
      </c>
      <c r="L20">
        <v>-63.31</v>
      </c>
      <c r="M20" s="3">
        <v>0.11945050684892169</v>
      </c>
      <c r="O20" s="4">
        <f t="shared" si="0"/>
        <v>0.12912926896466084</v>
      </c>
      <c r="P20" s="2">
        <f>E20-F20</f>
        <v>2244.2600000000002</v>
      </c>
      <c r="Q20" s="2">
        <f t="shared" si="1"/>
        <v>22442600000.000004</v>
      </c>
      <c r="R20" s="2">
        <f>Q20/B20</f>
        <v>3803830.5084745768</v>
      </c>
      <c r="S20" s="2">
        <f t="shared" ca="1" si="2"/>
        <v>2581279361.6625767</v>
      </c>
      <c r="T20" s="2">
        <f t="shared" ca="1" si="3"/>
        <v>2439600145.9295206</v>
      </c>
      <c r="U20" s="2">
        <f t="shared" ca="1" si="4"/>
        <v>2261718199.9163046</v>
      </c>
      <c r="V20" s="2">
        <f t="shared" ca="1" si="5"/>
        <v>2550833455.4275112</v>
      </c>
      <c r="W20" s="2">
        <f t="shared" ca="1" si="6"/>
        <v>2546796857.6183095</v>
      </c>
      <c r="X20" s="2">
        <f t="shared" ca="1" si="7"/>
        <v>2489255223.7356048</v>
      </c>
      <c r="Y20" s="2">
        <f t="shared" ca="1" si="8"/>
        <v>2459870327.345715</v>
      </c>
    </row>
    <row r="21" spans="1:25" x14ac:dyDescent="0.35">
      <c r="A21" t="s">
        <v>53</v>
      </c>
      <c r="B21" s="1">
        <v>7530</v>
      </c>
      <c r="C21" s="2" t="s">
        <v>83</v>
      </c>
      <c r="D21" s="2">
        <v>25972.09</v>
      </c>
      <c r="E21" s="2">
        <v>2702.99</v>
      </c>
      <c r="F21" s="2">
        <v>486.06</v>
      </c>
      <c r="G21" s="2">
        <v>28.325174825174827</v>
      </c>
      <c r="H21" s="2">
        <v>816.14</v>
      </c>
      <c r="I21" s="2">
        <v>1789.69</v>
      </c>
      <c r="J21" s="2">
        <v>317.89</v>
      </c>
      <c r="K21" s="2">
        <v>241.24</v>
      </c>
      <c r="L21">
        <v>-389.49</v>
      </c>
      <c r="M21" s="3">
        <v>0.2715889343964597</v>
      </c>
      <c r="O21" s="4">
        <f t="shared" si="0"/>
        <v>0.17982308480608514</v>
      </c>
      <c r="P21" s="2">
        <f>E21-F21</f>
        <v>2216.9299999999998</v>
      </c>
      <c r="Q21" s="2">
        <f t="shared" si="1"/>
        <v>22169300000</v>
      </c>
      <c r="R21" s="2">
        <f>Q21/B21</f>
        <v>2944130.1460823375</v>
      </c>
      <c r="S21" s="2">
        <f t="shared" ca="1" si="2"/>
        <v>2779331300.3944154</v>
      </c>
      <c r="T21" s="2">
        <f t="shared" ca="1" si="3"/>
        <v>2147427931.8177769</v>
      </c>
      <c r="U21" s="2">
        <f t="shared" ca="1" si="4"/>
        <v>2647012394.0074239</v>
      </c>
      <c r="V21" s="2">
        <f t="shared" ca="1" si="5"/>
        <v>2325941617.4901896</v>
      </c>
      <c r="W21" s="2">
        <f t="shared" ca="1" si="6"/>
        <v>2612543515.356329</v>
      </c>
      <c r="X21" s="2">
        <f t="shared" ca="1" si="7"/>
        <v>2290190833.6781626</v>
      </c>
      <c r="Y21" s="2">
        <f t="shared" ca="1" si="8"/>
        <v>2303356625.8896337</v>
      </c>
    </row>
    <row r="22" spans="1:25" x14ac:dyDescent="0.35">
      <c r="A22" t="s">
        <v>43</v>
      </c>
      <c r="B22" s="2">
        <v>503</v>
      </c>
      <c r="C22" s="2" t="s">
        <v>79</v>
      </c>
      <c r="D22" s="2">
        <v>478.52</v>
      </c>
      <c r="E22" s="2">
        <v>128.51</v>
      </c>
      <c r="F22" s="2">
        <v>13.03</v>
      </c>
      <c r="G22" s="2">
        <v>6.3560975609756101</v>
      </c>
      <c r="H22" s="2">
        <v>21.35</v>
      </c>
      <c r="I22" s="2">
        <v>75.69</v>
      </c>
      <c r="J22" s="2">
        <v>27.78</v>
      </c>
      <c r="K22" s="2">
        <v>-26.85</v>
      </c>
      <c r="L22">
        <v>17.47</v>
      </c>
      <c r="M22" s="3">
        <v>0.17214955740520543</v>
      </c>
      <c r="O22" s="4">
        <f t="shared" si="0"/>
        <v>0.10139288771301845</v>
      </c>
      <c r="P22" s="2">
        <f>E22-F22</f>
        <v>115.47999999999999</v>
      </c>
      <c r="Q22" s="2">
        <f t="shared" si="1"/>
        <v>1154800000</v>
      </c>
      <c r="R22" s="2">
        <f>Q22/B22</f>
        <v>2295825.0497017894</v>
      </c>
      <c r="S22" s="2">
        <f t="shared" ca="1" si="2"/>
        <v>119539414.60272646</v>
      </c>
      <c r="T22" s="2">
        <f t="shared" ca="1" si="3"/>
        <v>134231560.34677696</v>
      </c>
      <c r="U22" s="2">
        <f t="shared" ca="1" si="4"/>
        <v>127763160.19321084</v>
      </c>
      <c r="V22" s="2">
        <f t="shared" ca="1" si="5"/>
        <v>113586019.56919329</v>
      </c>
      <c r="W22" s="2">
        <f t="shared" ca="1" si="6"/>
        <v>129787180.21466008</v>
      </c>
      <c r="X22" s="2">
        <f t="shared" ca="1" si="7"/>
        <v>125574905.96795151</v>
      </c>
      <c r="Y22" s="2">
        <f t="shared" ca="1" si="8"/>
        <v>127892866.43102229</v>
      </c>
    </row>
    <row r="23" spans="1:25" x14ac:dyDescent="0.35">
      <c r="A23" t="s">
        <v>16</v>
      </c>
      <c r="B23" s="1">
        <v>14000</v>
      </c>
      <c r="C23" s="2" t="s">
        <v>84</v>
      </c>
      <c r="D23" s="2">
        <v>19454.650000000001</v>
      </c>
      <c r="E23" s="2">
        <v>6012.47</v>
      </c>
      <c r="F23" s="2">
        <v>839.6</v>
      </c>
      <c r="G23" s="2">
        <v>30.631156512221818</v>
      </c>
      <c r="H23" s="2">
        <v>1451.45</v>
      </c>
      <c r="I23" s="2">
        <v>2912.16</v>
      </c>
      <c r="J23" s="2">
        <v>1389.53</v>
      </c>
      <c r="K23" s="2">
        <v>-627.79999999999995</v>
      </c>
      <c r="L23">
        <v>-342.44</v>
      </c>
      <c r="M23" s="3">
        <v>0.28830833470688427</v>
      </c>
      <c r="O23" s="4">
        <f t="shared" si="0"/>
        <v>0.1396431084063621</v>
      </c>
      <c r="P23" s="2">
        <f>E23-F23</f>
        <v>5172.87</v>
      </c>
      <c r="Q23" s="2">
        <f t="shared" si="1"/>
        <v>51728700000</v>
      </c>
      <c r="R23" s="2">
        <f>Q23/B23</f>
        <v>3694907.1428571427</v>
      </c>
      <c r="S23" s="2">
        <f t="shared" ca="1" si="2"/>
        <v>5949677208.3285761</v>
      </c>
      <c r="T23" s="2">
        <f t="shared" ca="1" si="3"/>
        <v>5734464873.8130312</v>
      </c>
      <c r="U23" s="2">
        <f t="shared" ca="1" si="4"/>
        <v>5156445750.3804665</v>
      </c>
      <c r="V23" s="2">
        <f t="shared" ca="1" si="5"/>
        <v>5709900417.3823442</v>
      </c>
      <c r="W23" s="2">
        <f t="shared" ca="1" si="6"/>
        <v>6095974150.8668709</v>
      </c>
      <c r="X23" s="2">
        <f t="shared" ca="1" si="7"/>
        <v>6187573001.5403633</v>
      </c>
      <c r="Y23" s="2">
        <f t="shared" ca="1" si="8"/>
        <v>6260445529.8507071</v>
      </c>
    </row>
    <row r="24" spans="1:25" x14ac:dyDescent="0.35">
      <c r="A24" t="s">
        <v>38</v>
      </c>
      <c r="B24" s="2">
        <v>646</v>
      </c>
      <c r="C24" s="2" t="s">
        <v>85</v>
      </c>
      <c r="D24" s="2">
        <v>726.55</v>
      </c>
      <c r="E24" s="2">
        <v>137.88</v>
      </c>
      <c r="F24" s="2">
        <v>34.32</v>
      </c>
      <c r="G24" s="2">
        <v>14.481012658227847</v>
      </c>
      <c r="H24" s="2">
        <v>49.360000000000007</v>
      </c>
      <c r="I24" s="2">
        <v>20.759999999999998</v>
      </c>
      <c r="J24" s="2">
        <v>34.11</v>
      </c>
      <c r="K24" s="2">
        <v>-7.59</v>
      </c>
      <c r="L24">
        <v>-23.41</v>
      </c>
      <c r="M24" s="3">
        <v>1.6531791907514453</v>
      </c>
      <c r="O24" s="4">
        <f t="shared" si="0"/>
        <v>0.24891209747606616</v>
      </c>
      <c r="P24" s="2">
        <f>E24-F24</f>
        <v>103.56</v>
      </c>
      <c r="Q24" s="2">
        <f t="shared" si="1"/>
        <v>1035600000</v>
      </c>
      <c r="R24" s="2">
        <f>Q24/B24</f>
        <v>1603095.9752321981</v>
      </c>
      <c r="S24" s="2">
        <f t="shared" ca="1" si="2"/>
        <v>119111551.55542423</v>
      </c>
      <c r="T24" s="2">
        <f t="shared" ca="1" si="3"/>
        <v>101427925.26568753</v>
      </c>
      <c r="U24" s="2">
        <f t="shared" ca="1" si="4"/>
        <v>121381728.01326482</v>
      </c>
      <c r="V24" s="2">
        <f t="shared" ca="1" si="5"/>
        <v>114311259.94353533</v>
      </c>
      <c r="W24" s="2">
        <f t="shared" ca="1" si="6"/>
        <v>117520377.57432385</v>
      </c>
      <c r="X24" s="2">
        <f t="shared" ca="1" si="7"/>
        <v>115991283.16507006</v>
      </c>
      <c r="Y24" s="2">
        <f t="shared" ca="1" si="8"/>
        <v>126515469.4071936</v>
      </c>
    </row>
    <row r="25" spans="1:25" x14ac:dyDescent="0.35">
      <c r="A25" t="s">
        <v>52</v>
      </c>
      <c r="B25" s="1">
        <v>18491</v>
      </c>
      <c r="C25" s="2" t="s">
        <v>86</v>
      </c>
      <c r="D25" s="2">
        <v>35652.870000000003</v>
      </c>
      <c r="E25" s="2">
        <v>10880.1</v>
      </c>
      <c r="F25" s="2">
        <v>1266.7</v>
      </c>
      <c r="G25" s="2">
        <v>119.61284230406044</v>
      </c>
      <c r="H25" s="2">
        <v>2142.4</v>
      </c>
      <c r="I25" s="2">
        <v>6080</v>
      </c>
      <c r="J25" s="2">
        <v>1481.1</v>
      </c>
      <c r="K25" s="2">
        <v>-509.4</v>
      </c>
      <c r="L25">
        <v>-718.2</v>
      </c>
      <c r="M25" s="3">
        <v>0.20833881578947369</v>
      </c>
      <c r="O25" s="4">
        <f t="shared" si="0"/>
        <v>0.11642356228343489</v>
      </c>
      <c r="P25" s="2">
        <f>E25-F25</f>
        <v>9613.4</v>
      </c>
      <c r="Q25" s="2">
        <f t="shared" si="1"/>
        <v>96134000000</v>
      </c>
      <c r="R25" s="2">
        <f>Q25/B25</f>
        <v>5198961.6570223356</v>
      </c>
      <c r="S25" s="2">
        <f t="shared" ca="1" si="2"/>
        <v>10283046547.337883</v>
      </c>
      <c r="T25" s="2">
        <f t="shared" ca="1" si="3"/>
        <v>9518947867.0243473</v>
      </c>
      <c r="U25" s="2">
        <f t="shared" ca="1" si="4"/>
        <v>10635940112.585842</v>
      </c>
      <c r="V25" s="2">
        <f t="shared" ca="1" si="5"/>
        <v>10296240654.619877</v>
      </c>
      <c r="W25" s="2">
        <f t="shared" ca="1" si="6"/>
        <v>10909331766.83087</v>
      </c>
      <c r="X25" s="2">
        <f t="shared" ca="1" si="7"/>
        <v>10871924775.490105</v>
      </c>
      <c r="Y25" s="2">
        <f t="shared" ca="1" si="8"/>
        <v>11634579461.047113</v>
      </c>
    </row>
    <row r="26" spans="1:25" x14ac:dyDescent="0.35">
      <c r="A26" t="s">
        <v>24</v>
      </c>
      <c r="B26" s="2">
        <v>1172</v>
      </c>
      <c r="C26" s="2" t="s">
        <v>88</v>
      </c>
      <c r="D26" s="2">
        <v>5995.71</v>
      </c>
      <c r="E26" s="2">
        <v>916.78</v>
      </c>
      <c r="F26" s="2">
        <v>174.18</v>
      </c>
      <c r="G26" s="2">
        <v>8.4348668280871681</v>
      </c>
      <c r="H26" s="2">
        <v>276.08000000000004</v>
      </c>
      <c r="I26" s="2">
        <v>1500.02</v>
      </c>
      <c r="J26" s="2">
        <v>130.47</v>
      </c>
      <c r="K26" s="2">
        <v>-221.32</v>
      </c>
      <c r="L26">
        <v>-4.58</v>
      </c>
      <c r="M26" s="3">
        <v>0.11611845175397661</v>
      </c>
      <c r="O26" s="4">
        <f t="shared" si="0"/>
        <v>0.18999105565130131</v>
      </c>
      <c r="P26" s="2">
        <f>E26-F26</f>
        <v>742.59999999999991</v>
      </c>
      <c r="Q26" s="2">
        <f t="shared" si="1"/>
        <v>7425999999.999999</v>
      </c>
      <c r="R26" s="2">
        <f>Q26/B26</f>
        <v>6336177.4744027294</v>
      </c>
      <c r="S26" s="2">
        <f t="shared" ca="1" si="2"/>
        <v>879739333.0495342</v>
      </c>
      <c r="T26" s="2">
        <f t="shared" ca="1" si="3"/>
        <v>743296351.97028184</v>
      </c>
      <c r="U26" s="2">
        <f t="shared" ca="1" si="4"/>
        <v>894798250.91161656</v>
      </c>
      <c r="V26" s="2">
        <f t="shared" ca="1" si="5"/>
        <v>844041654.71044767</v>
      </c>
      <c r="W26" s="2">
        <f t="shared" ca="1" si="6"/>
        <v>891323643.90544856</v>
      </c>
      <c r="X26" s="2">
        <f t="shared" ca="1" si="7"/>
        <v>726764224.5810591</v>
      </c>
      <c r="Y26" s="2">
        <f t="shared" ca="1" si="8"/>
        <v>788507276.02994347</v>
      </c>
    </row>
    <row r="27" spans="1:25" x14ac:dyDescent="0.35">
      <c r="A27" t="s">
        <v>6</v>
      </c>
      <c r="B27" s="2">
        <v>90000</v>
      </c>
      <c r="C27" s="2" t="s">
        <v>87</v>
      </c>
      <c r="D27" s="2">
        <v>132726.75</v>
      </c>
      <c r="E27" s="2">
        <v>38997.799999999996</v>
      </c>
      <c r="F27" s="2">
        <v>4598.7</v>
      </c>
      <c r="G27" s="2">
        <v>155.20418494768816</v>
      </c>
      <c r="H27" s="2">
        <v>7531.0999999999995</v>
      </c>
      <c r="I27" s="2">
        <v>22698.3</v>
      </c>
      <c r="J27" s="2">
        <v>4545.8</v>
      </c>
      <c r="K27" s="2">
        <v>-1729.1</v>
      </c>
      <c r="L27">
        <v>-2574.4</v>
      </c>
      <c r="M27" s="3">
        <v>0.20260107585149548</v>
      </c>
      <c r="O27" s="4">
        <f t="shared" si="0"/>
        <v>0.11792203662770721</v>
      </c>
      <c r="P27" s="2">
        <f>E27-F27</f>
        <v>34399.1</v>
      </c>
      <c r="Q27" s="2">
        <f t="shared" si="1"/>
        <v>343991000000</v>
      </c>
      <c r="R27" s="2">
        <f>Q27/B27</f>
        <v>3822122.222222222</v>
      </c>
      <c r="S27" s="2">
        <f t="shared" ca="1" si="2"/>
        <v>43125626580.630661</v>
      </c>
      <c r="T27" s="2">
        <f t="shared" ca="1" si="3"/>
        <v>39244342130.562164</v>
      </c>
      <c r="U27" s="2">
        <f t="shared" ca="1" si="4"/>
        <v>35797127766.431335</v>
      </c>
      <c r="V27" s="2">
        <f t="shared" ca="1" si="5"/>
        <v>36090583958.089241</v>
      </c>
      <c r="W27" s="2">
        <f t="shared" ca="1" si="6"/>
        <v>34907425970.096664</v>
      </c>
      <c r="X27" s="2">
        <f t="shared" ca="1" si="7"/>
        <v>39276471555.908112</v>
      </c>
      <c r="Y27" s="2">
        <f t="shared" ca="1" si="8"/>
        <v>38882133440.618134</v>
      </c>
    </row>
    <row r="28" spans="1:25" x14ac:dyDescent="0.35">
      <c r="A28" t="s">
        <v>36</v>
      </c>
      <c r="B28" s="2">
        <v>314</v>
      </c>
      <c r="C28" s="2" t="s">
        <v>89</v>
      </c>
      <c r="D28" s="2">
        <v>1539.23</v>
      </c>
      <c r="E28" s="2">
        <v>604.16000000000008</v>
      </c>
      <c r="F28" s="2">
        <v>102.69</v>
      </c>
      <c r="G28" s="2">
        <v>1.7571868583162218</v>
      </c>
      <c r="H28" s="2">
        <v>212.98</v>
      </c>
      <c r="I28" s="2">
        <v>517.47</v>
      </c>
      <c r="J28" s="2">
        <v>143.04</v>
      </c>
      <c r="K28" s="2">
        <v>-63.89</v>
      </c>
      <c r="L28">
        <v>-48.34</v>
      </c>
      <c r="M28" s="3">
        <v>0.19844628674126036</v>
      </c>
      <c r="O28" s="4">
        <f t="shared" si="0"/>
        <v>0.16997153072033896</v>
      </c>
      <c r="P28" s="2">
        <f>E28-F28</f>
        <v>501.47000000000008</v>
      </c>
      <c r="Q28" s="2">
        <f t="shared" si="1"/>
        <v>5014700000.000001</v>
      </c>
      <c r="R28" s="2">
        <f>Q28/B28</f>
        <v>15970382.165605098</v>
      </c>
      <c r="S28" s="2">
        <f t="shared" ca="1" si="2"/>
        <v>524865696.02388686</v>
      </c>
      <c r="T28" s="2">
        <f t="shared" ca="1" si="3"/>
        <v>485748618.57102424</v>
      </c>
      <c r="U28" s="2">
        <f t="shared" ca="1" si="4"/>
        <v>598754721.72008288</v>
      </c>
      <c r="V28" s="2">
        <f t="shared" ca="1" si="5"/>
        <v>575452991.33117366</v>
      </c>
      <c r="W28" s="2">
        <f t="shared" ca="1" si="6"/>
        <v>547183198.72348428</v>
      </c>
      <c r="X28" s="2">
        <f t="shared" ca="1" si="7"/>
        <v>518041614.91999668</v>
      </c>
      <c r="Y28" s="2">
        <f t="shared" ca="1" si="8"/>
        <v>624078565.34973335</v>
      </c>
    </row>
    <row r="29" spans="1:25" x14ac:dyDescent="0.35">
      <c r="A29" t="s">
        <v>40</v>
      </c>
      <c r="B29" s="2">
        <v>686</v>
      </c>
      <c r="C29" s="2" t="s">
        <v>90</v>
      </c>
      <c r="D29" s="2">
        <v>584.97</v>
      </c>
      <c r="E29" s="2">
        <v>430.23</v>
      </c>
      <c r="F29" s="2">
        <v>28.68</v>
      </c>
      <c r="G29" s="2">
        <v>8.9905956112852667</v>
      </c>
      <c r="H29" s="2">
        <v>41.02</v>
      </c>
      <c r="I29" s="2">
        <v>259.89</v>
      </c>
      <c r="J29" s="2">
        <v>24.13</v>
      </c>
      <c r="K29" s="2">
        <v>-5.45</v>
      </c>
      <c r="L29">
        <v>1.47</v>
      </c>
      <c r="M29" s="3">
        <v>0.11035438069952673</v>
      </c>
      <c r="O29" s="4">
        <f t="shared" si="0"/>
        <v>6.6662017990377243E-2</v>
      </c>
      <c r="P29" s="2">
        <f>E29-F29</f>
        <v>401.55</v>
      </c>
      <c r="Q29" s="2">
        <f t="shared" si="1"/>
        <v>4015500000</v>
      </c>
      <c r="R29" s="2">
        <f>Q29/B29</f>
        <v>5853498.5422740523</v>
      </c>
      <c r="S29" s="2">
        <f t="shared" ca="1" si="2"/>
        <v>447995038.83032227</v>
      </c>
      <c r="T29" s="2">
        <f t="shared" ca="1" si="3"/>
        <v>414891914.38439202</v>
      </c>
      <c r="U29" s="2">
        <f t="shared" ca="1" si="4"/>
        <v>431065437.03999269</v>
      </c>
      <c r="V29" s="2">
        <f t="shared" ca="1" si="5"/>
        <v>473957043.55396158</v>
      </c>
      <c r="W29" s="2">
        <f t="shared" ca="1" si="6"/>
        <v>398720733.51775324</v>
      </c>
      <c r="X29" s="2">
        <f t="shared" ca="1" si="7"/>
        <v>454118354.96266168</v>
      </c>
      <c r="Y29" s="2">
        <f t="shared" ca="1" si="8"/>
        <v>435543009.09523451</v>
      </c>
    </row>
    <row r="30" spans="1:25" x14ac:dyDescent="0.35">
      <c r="A30" t="s">
        <v>7</v>
      </c>
      <c r="B30" s="2">
        <v>30000</v>
      </c>
      <c r="C30" s="2" t="s">
        <v>91</v>
      </c>
      <c r="D30" s="2">
        <v>44140.09</v>
      </c>
      <c r="E30" s="2">
        <v>14484.99</v>
      </c>
      <c r="F30" s="2">
        <v>1702.14</v>
      </c>
      <c r="G30" s="2">
        <v>89.539189900052605</v>
      </c>
      <c r="H30" s="2">
        <v>2963.4700000000003</v>
      </c>
      <c r="I30" s="2">
        <v>9628.39</v>
      </c>
      <c r="J30" s="2">
        <v>1905.2</v>
      </c>
      <c r="K30" s="2">
        <v>31.94</v>
      </c>
      <c r="L30">
        <v>-1755.71</v>
      </c>
      <c r="M30" s="3">
        <v>0.17678344977716942</v>
      </c>
      <c r="O30" s="4">
        <f t="shared" si="0"/>
        <v>0.11751060925827357</v>
      </c>
      <c r="P30" s="2">
        <f>E30-F30</f>
        <v>12782.85</v>
      </c>
      <c r="Q30" s="2">
        <f t="shared" si="1"/>
        <v>127828500000</v>
      </c>
      <c r="R30" s="2">
        <f>Q30/B30</f>
        <v>4260950</v>
      </c>
      <c r="S30" s="2">
        <f t="shared" ca="1" si="2"/>
        <v>14702443962.922504</v>
      </c>
      <c r="T30" s="2">
        <f t="shared" ca="1" si="3"/>
        <v>13620310091.911139</v>
      </c>
      <c r="U30" s="2">
        <f t="shared" ca="1" si="4"/>
        <v>12742263494.008345</v>
      </c>
      <c r="V30" s="2">
        <f t="shared" ca="1" si="5"/>
        <v>14529030253.050695</v>
      </c>
      <c r="W30" s="2">
        <f t="shared" ca="1" si="6"/>
        <v>13808632907.819939</v>
      </c>
      <c r="X30" s="2">
        <f t="shared" ca="1" si="7"/>
        <v>13622281633.33374</v>
      </c>
      <c r="Y30" s="2">
        <f t="shared" ca="1" si="8"/>
        <v>14448764050.55381</v>
      </c>
    </row>
    <row r="31" spans="1:25" x14ac:dyDescent="0.35">
      <c r="A31" t="s">
        <v>57</v>
      </c>
      <c r="B31">
        <v>489</v>
      </c>
      <c r="C31" s="2" t="s">
        <v>93</v>
      </c>
      <c r="D31" s="2">
        <v>18880.09</v>
      </c>
      <c r="E31" s="2">
        <v>1158.4100000000001</v>
      </c>
      <c r="F31" s="2">
        <v>114.48</v>
      </c>
      <c r="G31" s="2">
        <v>20.19047619047619</v>
      </c>
      <c r="H31" s="2">
        <v>171.62</v>
      </c>
      <c r="I31" s="2">
        <v>530.33000000000004</v>
      </c>
      <c r="J31" s="2">
        <v>-13.21</v>
      </c>
      <c r="K31" s="2">
        <v>111.59</v>
      </c>
      <c r="L31">
        <v>-17.97</v>
      </c>
      <c r="M31" s="3">
        <v>0.2158655931212641</v>
      </c>
      <c r="O31" s="4">
        <f t="shared" si="0"/>
        <v>9.8825113733479505E-2</v>
      </c>
      <c r="P31" s="2">
        <f>E31-F31</f>
        <v>1043.93</v>
      </c>
      <c r="Q31" s="2">
        <f t="shared" si="1"/>
        <v>10439300000</v>
      </c>
      <c r="R31" s="2">
        <f>Q31/B31</f>
        <v>21348261.758691207</v>
      </c>
      <c r="S31" s="2">
        <f t="shared" ca="1" si="2"/>
        <v>1104640713.1521215</v>
      </c>
      <c r="T31" s="2">
        <f t="shared" ca="1" si="3"/>
        <v>1044908915.5835394</v>
      </c>
      <c r="U31" s="2">
        <f t="shared" ca="1" si="4"/>
        <v>1154968789.5782697</v>
      </c>
      <c r="V31" s="2">
        <f t="shared" ca="1" si="5"/>
        <v>1049626535.9673491</v>
      </c>
      <c r="W31" s="2">
        <f t="shared" ca="1" si="6"/>
        <v>1184656699.1228652</v>
      </c>
      <c r="X31" s="2">
        <f t="shared" ca="1" si="7"/>
        <v>1112483402.8003216</v>
      </c>
      <c r="Y31" s="2">
        <f t="shared" ca="1" si="8"/>
        <v>1227655219.9420187</v>
      </c>
    </row>
    <row r="32" spans="1:25" x14ac:dyDescent="0.35">
      <c r="A32" t="s">
        <v>22</v>
      </c>
      <c r="B32" s="2">
        <v>4457</v>
      </c>
      <c r="C32" s="2" t="s">
        <v>94</v>
      </c>
      <c r="D32" s="2">
        <v>6304.1</v>
      </c>
      <c r="E32" s="2">
        <v>1550.46</v>
      </c>
      <c r="F32" s="2">
        <v>315.24</v>
      </c>
      <c r="G32" s="2">
        <v>22.262711864406779</v>
      </c>
      <c r="H32" s="2">
        <v>442.61</v>
      </c>
      <c r="I32" s="2">
        <v>1516.43</v>
      </c>
      <c r="J32" s="2">
        <v>214.98</v>
      </c>
      <c r="K32" s="2">
        <v>-167.69</v>
      </c>
      <c r="L32">
        <v>-68.09</v>
      </c>
      <c r="M32" s="3">
        <v>0.20788298833444338</v>
      </c>
      <c r="O32" s="4">
        <f t="shared" si="0"/>
        <v>0.20332030494175923</v>
      </c>
      <c r="P32" s="2">
        <f>E32-F32</f>
        <v>1235.22</v>
      </c>
      <c r="Q32" s="2">
        <f t="shared" si="1"/>
        <v>12352200000</v>
      </c>
      <c r="R32" s="2">
        <f>Q32/B32</f>
        <v>2771415.7505048239</v>
      </c>
      <c r="S32" s="2">
        <f t="shared" ca="1" si="2"/>
        <v>1278641112.795114</v>
      </c>
      <c r="T32" s="2">
        <f t="shared" ca="1" si="3"/>
        <v>1329439024.0056467</v>
      </c>
      <c r="U32" s="2">
        <f t="shared" ca="1" si="4"/>
        <v>1420728558.462404</v>
      </c>
      <c r="V32" s="2">
        <f t="shared" ca="1" si="5"/>
        <v>1403955201.6313484</v>
      </c>
      <c r="W32" s="2">
        <f t="shared" ca="1" si="6"/>
        <v>1226516808.5065351</v>
      </c>
      <c r="X32" s="2">
        <f t="shared" ca="1" si="7"/>
        <v>1208879215.576375</v>
      </c>
      <c r="Y32" s="2">
        <f t="shared" ca="1" si="8"/>
        <v>1297477854.4693165</v>
      </c>
    </row>
    <row r="33" spans="1:25" x14ac:dyDescent="0.35">
      <c r="A33" t="s">
        <v>39</v>
      </c>
      <c r="B33" s="2">
        <v>450</v>
      </c>
      <c r="C33" s="2" t="s">
        <v>92</v>
      </c>
      <c r="D33" s="2">
        <v>761.41</v>
      </c>
      <c r="E33" s="2">
        <v>144.26000000000002</v>
      </c>
      <c r="F33" s="2">
        <v>26.32</v>
      </c>
      <c r="G33" s="2">
        <v>14.150537634408602</v>
      </c>
      <c r="H33" s="2">
        <v>37.81</v>
      </c>
      <c r="I33" s="2">
        <v>61.35</v>
      </c>
      <c r="J33" s="2">
        <v>23.73</v>
      </c>
      <c r="K33" s="2">
        <v>-6.14</v>
      </c>
      <c r="L33">
        <v>-0.49</v>
      </c>
      <c r="M33" s="3">
        <v>0.42901385493072536</v>
      </c>
      <c r="O33" s="4">
        <f t="shared" si="0"/>
        <v>0.18244835713295438</v>
      </c>
      <c r="P33" s="2">
        <f>E33-F33</f>
        <v>117.94000000000003</v>
      </c>
      <c r="Q33" s="2">
        <f t="shared" si="1"/>
        <v>1179400000.0000002</v>
      </c>
      <c r="R33" s="2">
        <f>Q33/B33</f>
        <v>2620888.8888888895</v>
      </c>
      <c r="S33" s="2">
        <f t="shared" ca="1" si="2"/>
        <v>143790048.02890635</v>
      </c>
      <c r="T33" s="2">
        <f t="shared" ca="1" si="3"/>
        <v>130744207.22297467</v>
      </c>
      <c r="U33" s="2">
        <f t="shared" ca="1" si="4"/>
        <v>129192891.94294748</v>
      </c>
      <c r="V33" s="2">
        <f t="shared" ca="1" si="5"/>
        <v>140495759.83633354</v>
      </c>
      <c r="W33" s="2">
        <f t="shared" ca="1" si="6"/>
        <v>117109010.86062466</v>
      </c>
      <c r="X33" s="2">
        <f t="shared" ca="1" si="7"/>
        <v>124402453.04437476</v>
      </c>
      <c r="Y33" s="2">
        <f t="shared" ca="1" si="8"/>
        <v>138696710.16252214</v>
      </c>
    </row>
    <row r="34" spans="1:25" x14ac:dyDescent="0.35">
      <c r="A34" t="s">
        <v>31</v>
      </c>
      <c r="B34" s="1">
        <v>1868</v>
      </c>
      <c r="C34" s="2" t="s">
        <v>95</v>
      </c>
      <c r="D34" s="2">
        <v>2091.7399999999998</v>
      </c>
      <c r="E34" s="2">
        <v>898.51</v>
      </c>
      <c r="F34" s="2">
        <v>163</v>
      </c>
      <c r="G34" s="2">
        <v>61.977186311787072</v>
      </c>
      <c r="H34" s="2">
        <v>234.77</v>
      </c>
      <c r="I34" s="2">
        <v>814.22</v>
      </c>
      <c r="J34" s="2">
        <v>150.94</v>
      </c>
      <c r="K34" s="2">
        <v>-20.48</v>
      </c>
      <c r="L34">
        <v>-125.8</v>
      </c>
      <c r="M34" s="3">
        <v>0.20019159440937337</v>
      </c>
      <c r="O34" s="4">
        <f t="shared" ref="O34:O52" si="9">F34/E34</f>
        <v>0.18141144784142638</v>
      </c>
      <c r="P34" s="2">
        <f>E34-F34</f>
        <v>735.51</v>
      </c>
      <c r="Q34" s="2">
        <f t="shared" ref="Q34:Q52" si="10">P34*10000000</f>
        <v>7355100000</v>
      </c>
      <c r="R34" s="2">
        <f>Q34/B34</f>
        <v>3937419.7002141327</v>
      </c>
      <c r="S34" s="2">
        <f t="shared" ref="S34:S52" ca="1" si="11">Q34*$AC$1*(1 + RANDBETWEEN(-10,10)/100)</f>
        <v>837501544.14527583</v>
      </c>
      <c r="T34" s="2">
        <f t="shared" ref="T34:T52" ca="1" si="12">Q34*$AD$1*(1 + RANDBETWEEN(-10,10)/100)</f>
        <v>783696458.59112489</v>
      </c>
      <c r="U34" s="2">
        <f t="shared" ref="U34:U52" ca="1" si="13">Q34*(1 + RANDBETWEEN(-10,10)/100)*$AE$1</f>
        <v>733174700.67145264</v>
      </c>
      <c r="V34" s="2">
        <f t="shared" ref="V34:V52" ca="1" si="14">Q34*$AF$1*(1 + RANDBETWEEN(-10,10)/100)</f>
        <v>819906538.10572398</v>
      </c>
      <c r="W34" s="2">
        <f t="shared" ref="W34:W52" ca="1" si="15">Q34*$AG$1*(1 + RANDBETWEEN(-10,10)/100)</f>
        <v>738353276.03577697</v>
      </c>
      <c r="X34" s="2">
        <f t="shared" ref="X34:X52" ca="1" si="16">Q34*$AH$1*(1 + RANDBETWEEN(-10,10)/100)</f>
        <v>839796320.08064091</v>
      </c>
      <c r="Y34" s="2">
        <f t="shared" ref="Y34:Y52" ca="1" si="17">Q34*$AI$1*(1 + RANDBETWEEN(-10,10)/100)</f>
        <v>764183727.9066478</v>
      </c>
    </row>
    <row r="35" spans="1:25" x14ac:dyDescent="0.35">
      <c r="A35" t="s">
        <v>14</v>
      </c>
      <c r="B35" s="2">
        <v>8887</v>
      </c>
      <c r="C35" s="2" t="s">
        <v>96</v>
      </c>
      <c r="D35" s="2">
        <v>62212.53</v>
      </c>
      <c r="E35" s="2">
        <v>7151</v>
      </c>
      <c r="F35" s="2">
        <v>2379.6</v>
      </c>
      <c r="G35" s="2">
        <v>273.83199079401612</v>
      </c>
      <c r="H35" s="2">
        <v>3378.2999999999997</v>
      </c>
      <c r="I35" s="2">
        <v>8362.4</v>
      </c>
      <c r="J35" s="2">
        <v>2198.9</v>
      </c>
      <c r="K35" s="2">
        <v>-2371.9</v>
      </c>
      <c r="L35">
        <v>-2096.1</v>
      </c>
      <c r="M35" s="3">
        <v>0.28455945661532572</v>
      </c>
      <c r="O35" s="4">
        <f t="shared" si="9"/>
        <v>0.33276464830093694</v>
      </c>
      <c r="P35" s="2">
        <f>E35-F35</f>
        <v>4771.3999999999996</v>
      </c>
      <c r="Q35" s="2">
        <f t="shared" si="10"/>
        <v>47714000000</v>
      </c>
      <c r="R35" s="2">
        <f>Q35/B35</f>
        <v>5368965.9052548669</v>
      </c>
      <c r="S35" s="2">
        <f t="shared" ca="1" si="11"/>
        <v>5158643546.4084406</v>
      </c>
      <c r="T35" s="2">
        <f t="shared" ca="1" si="12"/>
        <v>5238055622.7419834</v>
      </c>
      <c r="U35" s="2">
        <f t="shared" ca="1" si="13"/>
        <v>5435714797.3651228</v>
      </c>
      <c r="V35" s="2">
        <f t="shared" ca="1" si="14"/>
        <v>5318897167.8395281</v>
      </c>
      <c r="W35" s="2">
        <f t="shared" ca="1" si="15"/>
        <v>5622861402.5572243</v>
      </c>
      <c r="X35" s="2">
        <f t="shared" ca="1" si="16"/>
        <v>4669650984.6028357</v>
      </c>
      <c r="Y35" s="2">
        <f t="shared" ca="1" si="17"/>
        <v>5229797474.400177</v>
      </c>
    </row>
    <row r="36" spans="1:25" x14ac:dyDescent="0.35">
      <c r="A36" t="s">
        <v>10</v>
      </c>
      <c r="B36" s="2">
        <v>24000</v>
      </c>
      <c r="C36" s="2" t="s">
        <v>97</v>
      </c>
      <c r="D36" s="2">
        <v>84738.29</v>
      </c>
      <c r="E36" s="2">
        <v>12076.869999999999</v>
      </c>
      <c r="F36" s="2">
        <v>1400.16</v>
      </c>
      <c r="G36" s="2">
        <v>90.566623544631312</v>
      </c>
      <c r="H36" s="2">
        <v>2262.9499999999998</v>
      </c>
      <c r="I36" s="2">
        <v>6319.0700000000006</v>
      </c>
      <c r="J36" s="2">
        <v>1156.92</v>
      </c>
      <c r="K36" s="2">
        <v>-516.83000000000004</v>
      </c>
      <c r="L36">
        <v>-628.20000000000005</v>
      </c>
      <c r="M36" s="3">
        <v>0.22157690926038165</v>
      </c>
      <c r="O36" s="4">
        <f t="shared" si="9"/>
        <v>0.11593732482008999</v>
      </c>
      <c r="P36" s="2">
        <f>E36-F36</f>
        <v>10676.71</v>
      </c>
      <c r="Q36" s="2">
        <f t="shared" si="10"/>
        <v>106767099999.99998</v>
      </c>
      <c r="R36" s="2">
        <f>Q36/B36</f>
        <v>4448629.166666666</v>
      </c>
      <c r="S36" s="2">
        <f t="shared" ca="1" si="11"/>
        <v>12034425489.910843</v>
      </c>
      <c r="T36" s="2">
        <f t="shared" ca="1" si="12"/>
        <v>12410386583.564573</v>
      </c>
      <c r="U36" s="2">
        <f t="shared" ca="1" si="13"/>
        <v>12397120093.406456</v>
      </c>
      <c r="V36" s="2">
        <f t="shared" ca="1" si="14"/>
        <v>12601922317.228279</v>
      </c>
      <c r="W36" s="2">
        <f t="shared" ca="1" si="15"/>
        <v>11300482261.658165</v>
      </c>
      <c r="X36" s="2">
        <f t="shared" ca="1" si="16"/>
        <v>10797332650.643326</v>
      </c>
      <c r="Y36" s="2">
        <f t="shared" ca="1" si="17"/>
        <v>10971039224.51412</v>
      </c>
    </row>
    <row r="37" spans="1:25" x14ac:dyDescent="0.35">
      <c r="A37" t="s">
        <v>37</v>
      </c>
      <c r="B37" s="2">
        <v>973</v>
      </c>
      <c r="C37" s="2" t="s">
        <v>98</v>
      </c>
      <c r="D37" s="2">
        <v>885.29</v>
      </c>
      <c r="E37" s="2">
        <v>300.29999999999995</v>
      </c>
      <c r="F37" s="2">
        <v>5.04</v>
      </c>
      <c r="G37" s="2">
        <v>0.93333333333333324</v>
      </c>
      <c r="H37" s="2">
        <v>14.68</v>
      </c>
      <c r="I37" s="2">
        <v>441.48</v>
      </c>
      <c r="J37" s="2">
        <v>-22.3</v>
      </c>
      <c r="K37" s="2">
        <v>15.95</v>
      </c>
      <c r="L37">
        <v>-10.32</v>
      </c>
      <c r="M37" s="3">
        <v>1.1416145691764065E-2</v>
      </c>
      <c r="O37" s="4">
        <f t="shared" si="9"/>
        <v>1.6783216783216787E-2</v>
      </c>
      <c r="P37" s="2">
        <f>E37-F37</f>
        <v>295.25999999999993</v>
      </c>
      <c r="Q37" s="2">
        <f t="shared" si="10"/>
        <v>2952599999.9999995</v>
      </c>
      <c r="R37" s="2">
        <f>Q37/B37</f>
        <v>3034532.3741007191</v>
      </c>
      <c r="S37" s="2">
        <f t="shared" ca="1" si="11"/>
        <v>342995031.66644549</v>
      </c>
      <c r="T37" s="2">
        <f t="shared" ca="1" si="12"/>
        <v>346381924.82992411</v>
      </c>
      <c r="U37" s="2">
        <f t="shared" ca="1" si="13"/>
        <v>349305856.68204707</v>
      </c>
      <c r="V37" s="2">
        <f t="shared" ca="1" si="14"/>
        <v>348500950.51610672</v>
      </c>
      <c r="W37" s="2">
        <f t="shared" ca="1" si="15"/>
        <v>318953672.48797524</v>
      </c>
      <c r="X37" s="2">
        <f t="shared" ca="1" si="16"/>
        <v>308227891.12100333</v>
      </c>
      <c r="Y37" s="2">
        <f t="shared" ca="1" si="17"/>
        <v>367450569.73530263</v>
      </c>
    </row>
    <row r="38" spans="1:25" x14ac:dyDescent="0.35">
      <c r="A38" t="s">
        <v>35</v>
      </c>
      <c r="B38" s="2">
        <v>1668</v>
      </c>
      <c r="C38" s="2" t="s">
        <v>99</v>
      </c>
      <c r="D38" s="2">
        <v>1590.57</v>
      </c>
      <c r="E38" s="2">
        <v>596.57000000000005</v>
      </c>
      <c r="F38" s="2">
        <v>-34.25</v>
      </c>
      <c r="G38" s="2">
        <v>-9.1823056300268089</v>
      </c>
      <c r="H38" s="2">
        <v>83.2</v>
      </c>
      <c r="I38" s="2">
        <v>315.77999999999997</v>
      </c>
      <c r="J38" s="2">
        <v>113.35</v>
      </c>
      <c r="K38" s="2">
        <v>-109.39</v>
      </c>
      <c r="L38">
        <v>13.41</v>
      </c>
      <c r="M38" s="3">
        <v>-0.10846158718094877</v>
      </c>
      <c r="N38" t="s">
        <v>116</v>
      </c>
      <c r="O38" s="4">
        <f t="shared" si="9"/>
        <v>-5.7411535947164617E-2</v>
      </c>
      <c r="P38" s="2">
        <f>E38-F38</f>
        <v>630.82000000000005</v>
      </c>
      <c r="Q38" s="2">
        <f t="shared" si="10"/>
        <v>6308200000.000001</v>
      </c>
      <c r="R38" s="2">
        <f>Q38/B38</f>
        <v>3781894.4844124704</v>
      </c>
      <c r="S38" s="2">
        <f t="shared" ca="1" si="11"/>
        <v>747316410.01118672</v>
      </c>
      <c r="T38" s="2">
        <f t="shared" ca="1" si="12"/>
        <v>692515875.41143036</v>
      </c>
      <c r="U38" s="2">
        <f t="shared" ca="1" si="13"/>
        <v>621907021.24728763</v>
      </c>
      <c r="V38" s="2">
        <f t="shared" ca="1" si="14"/>
        <v>620473959.68685937</v>
      </c>
      <c r="W38" s="2">
        <f t="shared" ca="1" si="15"/>
        <v>619492083.02963984</v>
      </c>
      <c r="X38" s="2">
        <f t="shared" ca="1" si="16"/>
        <v>624227550.97211552</v>
      </c>
      <c r="Y38" s="2">
        <f t="shared" ca="1" si="17"/>
        <v>756245084.63212597</v>
      </c>
    </row>
    <row r="39" spans="1:25" x14ac:dyDescent="0.35">
      <c r="A39" t="s">
        <v>21</v>
      </c>
      <c r="B39" s="2">
        <v>690</v>
      </c>
      <c r="C39" s="2" t="s">
        <v>100</v>
      </c>
      <c r="D39" s="2">
        <v>6597.21</v>
      </c>
      <c r="E39" s="2">
        <v>1153.04</v>
      </c>
      <c r="F39" s="2">
        <v>208.93</v>
      </c>
      <c r="G39" s="2">
        <v>17.690939881456394</v>
      </c>
      <c r="H39" s="2">
        <v>329.34000000000003</v>
      </c>
      <c r="I39" s="2">
        <v>1682.6699999999998</v>
      </c>
      <c r="J39" s="2">
        <v>119.97</v>
      </c>
      <c r="K39" s="2">
        <v>-38.380000000000003</v>
      </c>
      <c r="L39">
        <v>-1.74</v>
      </c>
      <c r="M39" s="3">
        <v>0.12416576036893748</v>
      </c>
      <c r="O39" s="4">
        <f t="shared" si="9"/>
        <v>0.18119926455283425</v>
      </c>
      <c r="P39" s="2">
        <f>E39-F39</f>
        <v>944.1099999999999</v>
      </c>
      <c r="Q39" s="2">
        <f t="shared" si="10"/>
        <v>9441099999.9999981</v>
      </c>
      <c r="R39" s="2">
        <f>Q39/B39</f>
        <v>13682753.623188403</v>
      </c>
      <c r="S39" s="2">
        <f t="shared" ca="1" si="11"/>
        <v>1020733319.06771</v>
      </c>
      <c r="T39" s="2">
        <f t="shared" ca="1" si="12"/>
        <v>1066930191.2223486</v>
      </c>
      <c r="U39" s="2">
        <f t="shared" ca="1" si="13"/>
        <v>1003163745.7680889</v>
      </c>
      <c r="V39" s="2">
        <f t="shared" ca="1" si="14"/>
        <v>980216026.71648276</v>
      </c>
      <c r="W39" s="2">
        <f t="shared" ca="1" si="15"/>
        <v>1019871813.7662476</v>
      </c>
      <c r="X39" s="2">
        <f t="shared" ca="1" si="16"/>
        <v>1016374776.8329464</v>
      </c>
      <c r="Y39" s="2">
        <f t="shared" ca="1" si="17"/>
        <v>1185722591.6641226</v>
      </c>
    </row>
    <row r="40" spans="1:25" x14ac:dyDescent="0.35">
      <c r="A40" t="s">
        <v>56</v>
      </c>
      <c r="B40" s="1">
        <v>17187</v>
      </c>
      <c r="C40" s="2" t="s">
        <v>101</v>
      </c>
      <c r="D40" s="2">
        <v>19652.2</v>
      </c>
      <c r="E40" s="2">
        <v>5617.12</v>
      </c>
      <c r="F40" s="2">
        <v>539.12</v>
      </c>
      <c r="G40" s="2">
        <v>1.1516459103240553</v>
      </c>
      <c r="H40" s="2">
        <v>1364.89</v>
      </c>
      <c r="I40" s="2">
        <v>8336.0500000000011</v>
      </c>
      <c r="J40" s="2">
        <v>1214.07</v>
      </c>
      <c r="K40" s="2">
        <v>-958.37</v>
      </c>
      <c r="L40">
        <v>-256.07</v>
      </c>
      <c r="M40" s="3">
        <v>6.4673316498821382E-2</v>
      </c>
      <c r="O40" s="4">
        <f t="shared" si="9"/>
        <v>9.5978010083459145E-2</v>
      </c>
      <c r="P40" s="2">
        <f>E40-F40</f>
        <v>5078</v>
      </c>
      <c r="Q40" s="2">
        <f t="shared" si="10"/>
        <v>50780000000</v>
      </c>
      <c r="R40" s="2">
        <f>Q40/B40</f>
        <v>2954558.6780706346</v>
      </c>
      <c r="S40" s="2">
        <f t="shared" ca="1" si="11"/>
        <v>5314910172.9102373</v>
      </c>
      <c r="T40" s="2">
        <f t="shared" ca="1" si="12"/>
        <v>4918801693.2292271</v>
      </c>
      <c r="U40" s="2">
        <f t="shared" ca="1" si="13"/>
        <v>5896252294.4163504</v>
      </c>
      <c r="V40" s="2">
        <f t="shared" ca="1" si="14"/>
        <v>5383193945.5720329</v>
      </c>
      <c r="W40" s="2">
        <f t="shared" ca="1" si="15"/>
        <v>5873356452.240262</v>
      </c>
      <c r="X40" s="2">
        <f t="shared" ca="1" si="16"/>
        <v>5963655371.5420713</v>
      </c>
      <c r="Y40" s="2">
        <f t="shared" ca="1" si="17"/>
        <v>5971696576.2700291</v>
      </c>
    </row>
    <row r="41" spans="1:25" x14ac:dyDescent="0.35">
      <c r="A41" t="s">
        <v>32</v>
      </c>
      <c r="B41" s="2">
        <v>2278</v>
      </c>
      <c r="C41" s="2" t="s">
        <v>102</v>
      </c>
      <c r="D41" s="2">
        <v>1787.98</v>
      </c>
      <c r="E41" s="2">
        <v>899.84</v>
      </c>
      <c r="F41" s="2">
        <v>108.8</v>
      </c>
      <c r="G41" s="2">
        <v>8.2051282051282044</v>
      </c>
      <c r="H41" s="2">
        <v>163.86999999999998</v>
      </c>
      <c r="I41" s="2">
        <v>619.1</v>
      </c>
      <c r="J41" s="2">
        <v>111</v>
      </c>
      <c r="K41" s="2">
        <v>-105.76</v>
      </c>
      <c r="L41">
        <v>21.24</v>
      </c>
      <c r="M41" s="3">
        <v>0.17573897593280569</v>
      </c>
      <c r="O41" s="4">
        <f t="shared" si="9"/>
        <v>0.1209103840682788</v>
      </c>
      <c r="P41" s="2">
        <f>E41-F41</f>
        <v>791.04000000000008</v>
      </c>
      <c r="Q41" s="2">
        <f t="shared" si="10"/>
        <v>7910400000.000001</v>
      </c>
      <c r="R41" s="2">
        <f>Q41/B41</f>
        <v>3472519.7541703251</v>
      </c>
      <c r="S41" s="2">
        <f t="shared" ca="1" si="11"/>
        <v>982616472.40049267</v>
      </c>
      <c r="T41" s="2">
        <f t="shared" ca="1" si="12"/>
        <v>876919600.48890853</v>
      </c>
      <c r="U41" s="2">
        <f t="shared" ca="1" si="13"/>
        <v>918505595.70206988</v>
      </c>
      <c r="V41" s="2">
        <f t="shared" ca="1" si="14"/>
        <v>804001741.28866601</v>
      </c>
      <c r="W41" s="2">
        <f t="shared" ca="1" si="15"/>
        <v>776834940.80683291</v>
      </c>
      <c r="X41" s="2">
        <f t="shared" ca="1" si="16"/>
        <v>808578863.87145019</v>
      </c>
      <c r="Y41" s="2">
        <f t="shared" ca="1" si="17"/>
        <v>975416307.25116467</v>
      </c>
    </row>
    <row r="42" spans="1:25" x14ac:dyDescent="0.35">
      <c r="A42" t="s">
        <v>44</v>
      </c>
      <c r="B42" s="2">
        <v>406</v>
      </c>
      <c r="C42" s="2" t="s">
        <v>103</v>
      </c>
      <c r="D42" s="2">
        <v>418.1</v>
      </c>
      <c r="E42" s="2">
        <v>97.49</v>
      </c>
      <c r="F42" s="2">
        <v>1.31</v>
      </c>
      <c r="G42" s="2">
        <v>0.94927536231884069</v>
      </c>
      <c r="H42" s="2">
        <v>29.669999999999998</v>
      </c>
      <c r="I42" s="2">
        <v>168.77</v>
      </c>
      <c r="J42" s="2">
        <v>27.96</v>
      </c>
      <c r="K42" s="2">
        <v>-64.03</v>
      </c>
      <c r="L42">
        <v>37.25</v>
      </c>
      <c r="M42" s="3">
        <v>7.7620430171238966E-3</v>
      </c>
      <c r="O42" s="4">
        <f t="shared" si="9"/>
        <v>1.3437275618012105E-2</v>
      </c>
      <c r="P42" s="2">
        <f>E42-F42</f>
        <v>96.179999999999993</v>
      </c>
      <c r="Q42" s="2">
        <f t="shared" si="10"/>
        <v>961799999.99999988</v>
      </c>
      <c r="R42" s="2">
        <f>Q42/B42</f>
        <v>2368965.5172413792</v>
      </c>
      <c r="S42" s="2">
        <f t="shared" ca="1" si="11"/>
        <v>121685630.8561295</v>
      </c>
      <c r="T42" s="2">
        <f t="shared" ca="1" si="12"/>
        <v>95235026.717956349</v>
      </c>
      <c r="U42" s="2">
        <f t="shared" ca="1" si="13"/>
        <v>109570995.76865856</v>
      </c>
      <c r="V42" s="2">
        <f t="shared" ca="1" si="14"/>
        <v>97755976.280774519</v>
      </c>
      <c r="W42" s="2">
        <f t="shared" ca="1" si="15"/>
        <v>105997090.26214319</v>
      </c>
      <c r="X42" s="2">
        <f t="shared" ca="1" si="16"/>
        <v>101450126.6220787</v>
      </c>
      <c r="Y42" s="2">
        <f t="shared" ca="1" si="17"/>
        <v>104322068.52142859</v>
      </c>
    </row>
    <row r="43" spans="1:25" x14ac:dyDescent="0.35">
      <c r="A43" t="s">
        <v>12</v>
      </c>
      <c r="B43" s="2">
        <v>6873</v>
      </c>
      <c r="C43" s="2" t="s">
        <v>104</v>
      </c>
      <c r="D43" s="2">
        <v>6806.48</v>
      </c>
      <c r="E43" s="2">
        <v>10228.01</v>
      </c>
      <c r="F43" s="2">
        <v>424.67</v>
      </c>
      <c r="G43" s="2">
        <v>15.145149786019973</v>
      </c>
      <c r="H43" s="2">
        <v>740.82</v>
      </c>
      <c r="I43" s="2">
        <v>1705.94</v>
      </c>
      <c r="J43" s="2">
        <v>644.33000000000004</v>
      </c>
      <c r="K43" s="2">
        <v>-437.07</v>
      </c>
      <c r="L43">
        <v>-433.3</v>
      </c>
      <c r="M43" s="3">
        <v>0.24893607043624044</v>
      </c>
      <c r="O43" s="4">
        <f t="shared" si="9"/>
        <v>4.1520295736902878E-2</v>
      </c>
      <c r="P43" s="2">
        <f>E43-F43</f>
        <v>9803.34</v>
      </c>
      <c r="Q43" s="2">
        <f t="shared" si="10"/>
        <v>98033400000</v>
      </c>
      <c r="R43" s="2">
        <f>Q43/B43</f>
        <v>14263553.033609778</v>
      </c>
      <c r="S43" s="2">
        <f t="shared" ca="1" si="11"/>
        <v>12290297713.689014</v>
      </c>
      <c r="T43" s="2">
        <f t="shared" ca="1" si="12"/>
        <v>10445599434.90193</v>
      </c>
      <c r="U43" s="2">
        <f t="shared" ca="1" si="13"/>
        <v>9986987588.0021725</v>
      </c>
      <c r="V43" s="2">
        <f t="shared" ca="1" si="14"/>
        <v>11785346245.543249</v>
      </c>
      <c r="W43" s="2">
        <f t="shared" ca="1" si="15"/>
        <v>9841236971.7509937</v>
      </c>
      <c r="X43" s="2">
        <f t="shared" ca="1" si="16"/>
        <v>10020698724.900816</v>
      </c>
      <c r="Y43" s="2">
        <f t="shared" ca="1" si="17"/>
        <v>10297450292.120619</v>
      </c>
    </row>
    <row r="44" spans="1:25" x14ac:dyDescent="0.35">
      <c r="A44" t="s">
        <v>41</v>
      </c>
      <c r="B44" s="2">
        <v>632</v>
      </c>
      <c r="C44" s="2" t="s">
        <v>105</v>
      </c>
      <c r="D44" s="2">
        <v>497.72</v>
      </c>
      <c r="E44" s="2">
        <v>296.68</v>
      </c>
      <c r="F44" s="2">
        <v>-31.44</v>
      </c>
      <c r="G44" s="2">
        <v>-0.55774348057477385</v>
      </c>
      <c r="H44" s="2">
        <v>-5.0500000000000007</v>
      </c>
      <c r="I44" s="2">
        <v>304.48</v>
      </c>
      <c r="J44" s="2">
        <v>9.75</v>
      </c>
      <c r="K44" s="2">
        <v>-14.57</v>
      </c>
      <c r="L44">
        <v>-12.05</v>
      </c>
      <c r="M44" s="3">
        <v>-0.10325801366263794</v>
      </c>
      <c r="N44" t="s">
        <v>115</v>
      </c>
      <c r="O44" s="4">
        <f t="shared" si="9"/>
        <v>-0.10597276526897667</v>
      </c>
      <c r="P44" s="2">
        <f>E44-F44</f>
        <v>328.12</v>
      </c>
      <c r="Q44" s="2">
        <f t="shared" si="10"/>
        <v>3281200000</v>
      </c>
      <c r="R44" s="2">
        <f>Q44/B44</f>
        <v>5191772.1518987343</v>
      </c>
      <c r="S44" s="2">
        <f t="shared" ca="1" si="11"/>
        <v>347202121.59768766</v>
      </c>
      <c r="T44" s="2">
        <f t="shared" ca="1" si="12"/>
        <v>339022126.62883008</v>
      </c>
      <c r="U44" s="2">
        <f t="shared" ca="1" si="13"/>
        <v>363020853.15722501</v>
      </c>
      <c r="V44" s="2">
        <f t="shared" ca="1" si="14"/>
        <v>326324507.50827241</v>
      </c>
      <c r="W44" s="2">
        <f t="shared" ca="1" si="15"/>
        <v>379512744.99981779</v>
      </c>
      <c r="X44" s="2">
        <f t="shared" ca="1" si="16"/>
        <v>321122915.92989117</v>
      </c>
      <c r="Y44" s="2">
        <f t="shared" ca="1" si="17"/>
        <v>359643112.56658137</v>
      </c>
    </row>
    <row r="45" spans="1:25" x14ac:dyDescent="0.35">
      <c r="A45" t="s">
        <v>23</v>
      </c>
      <c r="B45" s="2">
        <v>1032</v>
      </c>
      <c r="C45" s="2" t="s">
        <v>106</v>
      </c>
      <c r="D45" s="2">
        <v>6113.01</v>
      </c>
      <c r="E45" s="2">
        <v>4067.9399999999996</v>
      </c>
      <c r="F45" s="2">
        <v>507.28</v>
      </c>
      <c r="G45" s="2">
        <v>37.687964338781569</v>
      </c>
      <c r="H45" s="2">
        <v>751.2399999999999</v>
      </c>
      <c r="I45" s="2">
        <v>2268.29</v>
      </c>
      <c r="J45" s="2">
        <v>642.1</v>
      </c>
      <c r="K45" s="2">
        <v>-220.3</v>
      </c>
      <c r="L45">
        <v>-208.23</v>
      </c>
      <c r="M45" s="3">
        <v>0.22363983441270735</v>
      </c>
      <c r="O45" s="4">
        <f t="shared" si="9"/>
        <v>0.12470193759003328</v>
      </c>
      <c r="P45" s="2">
        <f>E45-F45</f>
        <v>3560.66</v>
      </c>
      <c r="Q45" s="2">
        <f t="shared" si="10"/>
        <v>35606600000</v>
      </c>
      <c r="R45" s="2">
        <f>Q45/B45</f>
        <v>34502519.379844964</v>
      </c>
      <c r="S45" s="2">
        <f t="shared" ca="1" si="11"/>
        <v>3685826220.9849668</v>
      </c>
      <c r="T45" s="2">
        <f t="shared" ca="1" si="12"/>
        <v>4177160009.7030334</v>
      </c>
      <c r="U45" s="2">
        <f t="shared" ca="1" si="13"/>
        <v>3744374123.4572854</v>
      </c>
      <c r="V45" s="2">
        <f t="shared" ca="1" si="14"/>
        <v>3696831934.5079622</v>
      </c>
      <c r="W45" s="2">
        <f t="shared" ca="1" si="15"/>
        <v>4157211122.0061707</v>
      </c>
      <c r="X45" s="2">
        <f t="shared" ca="1" si="16"/>
        <v>4220394905.6580572</v>
      </c>
      <c r="Y45" s="2">
        <f t="shared" ca="1" si="17"/>
        <v>3984046449.874465</v>
      </c>
    </row>
    <row r="46" spans="1:25" x14ac:dyDescent="0.35">
      <c r="A46" t="s">
        <v>11</v>
      </c>
      <c r="B46" s="2">
        <v>13000</v>
      </c>
      <c r="C46" s="2" t="s">
        <v>108</v>
      </c>
      <c r="D46" s="2">
        <v>27484.94</v>
      </c>
      <c r="E46" s="2">
        <v>3908.36</v>
      </c>
      <c r="F46" s="2">
        <v>784.94</v>
      </c>
      <c r="G46" s="2">
        <v>125.99357945425361</v>
      </c>
      <c r="H46" s="2">
        <v>1143.8200000000002</v>
      </c>
      <c r="I46" s="2">
        <v>2859.96</v>
      </c>
      <c r="J46" s="2">
        <v>811.98</v>
      </c>
      <c r="K46" s="2">
        <v>-311.35000000000002</v>
      </c>
      <c r="L46">
        <v>-498.59</v>
      </c>
      <c r="M46" s="3">
        <v>0.27445838403334316</v>
      </c>
      <c r="O46" s="4">
        <f t="shared" si="9"/>
        <v>0.20083615634179042</v>
      </c>
      <c r="P46" s="2">
        <f>E46-F46</f>
        <v>3123.42</v>
      </c>
      <c r="Q46" s="2">
        <f t="shared" si="10"/>
        <v>31234200000</v>
      </c>
      <c r="R46" s="2">
        <f>Q46/B46</f>
        <v>2402630.769230769</v>
      </c>
      <c r="S46" s="2">
        <f t="shared" ca="1" si="11"/>
        <v>3233216127.1081386</v>
      </c>
      <c r="T46" s="2">
        <f t="shared" ca="1" si="12"/>
        <v>3428898791.3787918</v>
      </c>
      <c r="U46" s="2">
        <f t="shared" ca="1" si="13"/>
        <v>3558289037.2607985</v>
      </c>
      <c r="V46" s="2">
        <f t="shared" ca="1" si="14"/>
        <v>3754902530.1840692</v>
      </c>
      <c r="W46" s="2">
        <f t="shared" ca="1" si="15"/>
        <v>3476308862.9191041</v>
      </c>
      <c r="X46" s="2">
        <f t="shared" ca="1" si="16"/>
        <v>3328530562.3696809</v>
      </c>
      <c r="Y46" s="2">
        <f t="shared" ca="1" si="17"/>
        <v>3245185979.005291</v>
      </c>
    </row>
    <row r="47" spans="1:25" x14ac:dyDescent="0.35">
      <c r="A47" t="s">
        <v>54</v>
      </c>
      <c r="B47" s="1">
        <v>12638</v>
      </c>
      <c r="C47" s="2" t="s">
        <v>109</v>
      </c>
      <c r="D47" s="2">
        <v>22732.83</v>
      </c>
      <c r="E47" s="2">
        <v>5296.6399999999994</v>
      </c>
      <c r="F47" s="2">
        <v>676.95</v>
      </c>
      <c r="G47" s="2">
        <v>16.68597485826966</v>
      </c>
      <c r="H47" s="2">
        <v>1070.4000000000001</v>
      </c>
      <c r="I47" s="2">
        <v>3579.42</v>
      </c>
      <c r="J47" s="2">
        <v>699.25</v>
      </c>
      <c r="K47" s="2">
        <v>-65.22</v>
      </c>
      <c r="L47">
        <v>-486.39</v>
      </c>
      <c r="M47" s="3">
        <v>0.18912281878069631</v>
      </c>
      <c r="O47" s="4">
        <f t="shared" si="9"/>
        <v>0.12780744018849688</v>
      </c>
      <c r="P47" s="2">
        <f>E47-F47</f>
        <v>4619.6899999999996</v>
      </c>
      <c r="Q47" s="2">
        <f t="shared" si="10"/>
        <v>46196899999.999992</v>
      </c>
      <c r="R47" s="2">
        <f>Q47/B47</f>
        <v>3655396.4234847282</v>
      </c>
      <c r="S47" s="2">
        <f t="shared" ca="1" si="11"/>
        <v>5632232041.5351715</v>
      </c>
      <c r="T47" s="2">
        <f t="shared" ca="1" si="12"/>
        <v>5121228647.3283339</v>
      </c>
      <c r="U47" s="2">
        <f t="shared" ca="1" si="13"/>
        <v>4807440693.8351622</v>
      </c>
      <c r="V47" s="2">
        <f t="shared" ca="1" si="14"/>
        <v>4695386837.8512297</v>
      </c>
      <c r="W47" s="2">
        <f t="shared" ca="1" si="15"/>
        <v>4587140294.9187632</v>
      </c>
      <c r="X47" s="2">
        <f t="shared" ca="1" si="16"/>
        <v>4671882037.8984222</v>
      </c>
      <c r="Y47" s="2">
        <f t="shared" ca="1" si="17"/>
        <v>5432726852.3885164</v>
      </c>
    </row>
    <row r="48" spans="1:25" x14ac:dyDescent="0.35">
      <c r="A48" t="s">
        <v>2</v>
      </c>
      <c r="B48" s="2">
        <v>636833</v>
      </c>
      <c r="C48" s="2" t="s">
        <v>107</v>
      </c>
      <c r="D48" s="2">
        <v>894608.69</v>
      </c>
      <c r="E48" s="2">
        <v>266897</v>
      </c>
      <c r="F48" s="2">
        <v>49210</v>
      </c>
      <c r="G48" s="2">
        <v>136.01061330532599</v>
      </c>
      <c r="H48" s="2">
        <v>72030</v>
      </c>
      <c r="I48" s="2">
        <v>107240</v>
      </c>
      <c r="J48" s="2">
        <v>52094</v>
      </c>
      <c r="K48" s="2">
        <v>-12845</v>
      </c>
      <c r="L48">
        <v>-42133</v>
      </c>
      <c r="M48" s="3">
        <v>0.45887728459530025</v>
      </c>
      <c r="O48" s="4">
        <f t="shared" si="9"/>
        <v>0.18437824329235622</v>
      </c>
      <c r="P48" s="2">
        <f>E48-F48</f>
        <v>217687</v>
      </c>
      <c r="Q48" s="2">
        <f t="shared" si="10"/>
        <v>2176870000000</v>
      </c>
      <c r="R48" s="2">
        <f>Q48/B48</f>
        <v>3418274.4926848956</v>
      </c>
      <c r="S48" s="2">
        <f t="shared" ca="1" si="11"/>
        <v>252880713467.36279</v>
      </c>
      <c r="T48" s="2">
        <f t="shared" ca="1" si="12"/>
        <v>217891129775.59219</v>
      </c>
      <c r="U48" s="2">
        <f t="shared" ca="1" si="13"/>
        <v>259918079061.7178</v>
      </c>
      <c r="V48" s="2">
        <f t="shared" ca="1" si="14"/>
        <v>252181925032.48776</v>
      </c>
      <c r="W48" s="2">
        <f t="shared" ca="1" si="15"/>
        <v>232780376893.74979</v>
      </c>
      <c r="X48" s="2">
        <f t="shared" ca="1" si="16"/>
        <v>234349361879.90134</v>
      </c>
      <c r="Y48" s="2">
        <f t="shared" ca="1" si="17"/>
        <v>253513141946.88373</v>
      </c>
    </row>
    <row r="49" spans="1:25" x14ac:dyDescent="0.35">
      <c r="A49" t="s">
        <v>5</v>
      </c>
      <c r="B49" s="2">
        <v>148000</v>
      </c>
      <c r="C49" s="2" t="s">
        <v>110</v>
      </c>
      <c r="D49" s="2">
        <v>140573.01</v>
      </c>
      <c r="E49" s="2">
        <v>53852.3</v>
      </c>
      <c r="F49" s="2">
        <v>4251.5</v>
      </c>
      <c r="G49" s="2">
        <v>43.426966292134829</v>
      </c>
      <c r="H49" s="2">
        <v>7836</v>
      </c>
      <c r="I49" s="2">
        <v>27361.5</v>
      </c>
      <c r="J49" s="2">
        <v>5785.7</v>
      </c>
      <c r="K49" s="2">
        <v>20</v>
      </c>
      <c r="L49">
        <v>-5834.3</v>
      </c>
      <c r="M49" s="3">
        <v>0.15538256309047385</v>
      </c>
      <c r="O49" s="4">
        <f t="shared" si="9"/>
        <v>7.8947417287655308E-2</v>
      </c>
      <c r="P49" s="2">
        <f>E49-F49</f>
        <v>49600.800000000003</v>
      </c>
      <c r="Q49" s="2">
        <f t="shared" si="10"/>
        <v>496008000000</v>
      </c>
      <c r="R49" s="2">
        <f>Q49/B49</f>
        <v>3351405.4054054054</v>
      </c>
      <c r="S49" s="2">
        <f t="shared" ca="1" si="11"/>
        <v>61042779293.526512</v>
      </c>
      <c r="T49" s="2">
        <f t="shared" ca="1" si="12"/>
        <v>48045785550.516792</v>
      </c>
      <c r="U49" s="2">
        <f t="shared" ca="1" si="13"/>
        <v>56506644280.745277</v>
      </c>
      <c r="V49" s="2">
        <f t="shared" ca="1" si="14"/>
        <v>59628922597.394516</v>
      </c>
      <c r="W49" s="2">
        <f t="shared" ca="1" si="15"/>
        <v>51957435992.4104</v>
      </c>
      <c r="X49" s="2">
        <f t="shared" ca="1" si="16"/>
        <v>57172954136.571526</v>
      </c>
      <c r="Y49" s="2">
        <f t="shared" ca="1" si="17"/>
        <v>52100791408.786835</v>
      </c>
    </row>
    <row r="50" spans="1:25" x14ac:dyDescent="0.35">
      <c r="A50" t="s">
        <v>3</v>
      </c>
      <c r="B50" s="2">
        <v>234000</v>
      </c>
      <c r="C50" s="2" t="s">
        <v>111</v>
      </c>
      <c r="D50" s="2">
        <v>212948.04</v>
      </c>
      <c r="E50" s="2">
        <v>92997.799999999988</v>
      </c>
      <c r="F50" s="2">
        <v>13135.4</v>
      </c>
      <c r="G50" s="2">
        <v>12.543233926337601</v>
      </c>
      <c r="H50" s="2">
        <v>21794</v>
      </c>
      <c r="I50" s="2">
        <v>82830.899999999994</v>
      </c>
      <c r="J50" s="2">
        <v>16942.599999999999</v>
      </c>
      <c r="K50" s="2">
        <v>-8044</v>
      </c>
      <c r="L50">
        <v>-6396.3</v>
      </c>
      <c r="M50" s="3">
        <v>0.15858091605910354</v>
      </c>
      <c r="O50" s="4">
        <f t="shared" si="9"/>
        <v>0.14124420147573385</v>
      </c>
      <c r="P50" s="2">
        <f>E50-F50</f>
        <v>79862.399999999994</v>
      </c>
      <c r="Q50" s="2">
        <f t="shared" si="10"/>
        <v>798624000000</v>
      </c>
      <c r="R50" s="2">
        <f>Q50/B50</f>
        <v>3412923.076923077</v>
      </c>
      <c r="S50" s="2">
        <f t="shared" ca="1" si="11"/>
        <v>86343977524.560791</v>
      </c>
      <c r="T50" s="2">
        <f t="shared" ca="1" si="12"/>
        <v>94549481243.684067</v>
      </c>
      <c r="U50" s="2">
        <f t="shared" ca="1" si="13"/>
        <v>82233297852.248428</v>
      </c>
      <c r="V50" s="2">
        <f t="shared" ca="1" si="14"/>
        <v>87280646280.671417</v>
      </c>
      <c r="W50" s="2">
        <f t="shared" ca="1" si="15"/>
        <v>95856780742.034073</v>
      </c>
      <c r="X50" s="2">
        <f t="shared" ca="1" si="16"/>
        <v>84238413311.947388</v>
      </c>
      <c r="Y50" s="2">
        <f t="shared" ca="1" si="17"/>
        <v>82975821608.913361</v>
      </c>
    </row>
    <row r="51" spans="1:25" x14ac:dyDescent="0.35">
      <c r="A51" t="s">
        <v>45</v>
      </c>
      <c r="B51" s="2">
        <v>548</v>
      </c>
      <c r="C51" s="2" t="s">
        <v>112</v>
      </c>
      <c r="D51" s="2">
        <v>392.95</v>
      </c>
      <c r="E51" s="2">
        <v>236.07999999999998</v>
      </c>
      <c r="F51" s="2">
        <v>9.15</v>
      </c>
      <c r="G51" s="2">
        <v>0.68488023952095811</v>
      </c>
      <c r="H51" s="2">
        <v>22.580000000000002</v>
      </c>
      <c r="I51" s="2">
        <v>182.55</v>
      </c>
      <c r="J51" s="2">
        <v>16.7</v>
      </c>
      <c r="K51" s="2">
        <v>7.0000000000000007E-2</v>
      </c>
      <c r="L51">
        <v>-9.06</v>
      </c>
      <c r="M51" s="3">
        <v>5.012325390304026E-2</v>
      </c>
      <c r="O51" s="4">
        <f t="shared" si="9"/>
        <v>3.8758048119281602E-2</v>
      </c>
      <c r="P51" s="2">
        <f>E51-F51</f>
        <v>226.92999999999998</v>
      </c>
      <c r="Q51" s="2">
        <f t="shared" si="10"/>
        <v>2269300000</v>
      </c>
      <c r="R51" s="2">
        <f>Q51/B51</f>
        <v>4141058.3941605841</v>
      </c>
      <c r="S51" s="2">
        <f t="shared" ca="1" si="11"/>
        <v>240127323.70523974</v>
      </c>
      <c r="T51" s="2">
        <f t="shared" ca="1" si="12"/>
        <v>236912379.80770499</v>
      </c>
      <c r="U51" s="2">
        <f t="shared" ca="1" si="13"/>
        <v>270954212.61478919</v>
      </c>
      <c r="V51" s="2">
        <f t="shared" ca="1" si="14"/>
        <v>270329852.29488868</v>
      </c>
      <c r="W51" s="2">
        <f t="shared" ca="1" si="15"/>
        <v>252568905.32244536</v>
      </c>
      <c r="X51" s="2">
        <f t="shared" ca="1" si="16"/>
        <v>222090769.57201689</v>
      </c>
      <c r="Y51" s="2">
        <f t="shared" ca="1" si="17"/>
        <v>272050183.97572738</v>
      </c>
    </row>
    <row r="52" spans="1:25" x14ac:dyDescent="0.35">
      <c r="A52" t="s">
        <v>18</v>
      </c>
      <c r="B52" s="2">
        <v>9900</v>
      </c>
      <c r="C52" s="2" t="s">
        <v>113</v>
      </c>
      <c r="D52" s="2">
        <v>12575.77</v>
      </c>
      <c r="E52" s="2">
        <v>5440.8</v>
      </c>
      <c r="F52" s="2">
        <v>649.79999999999995</v>
      </c>
      <c r="G52" s="2">
        <v>28.612945838837515</v>
      </c>
      <c r="H52" s="2">
        <v>967.39999999999986</v>
      </c>
      <c r="I52" s="2">
        <v>4069.7000000000003</v>
      </c>
      <c r="J52" s="2">
        <v>565</v>
      </c>
      <c r="K52" s="2">
        <v>-472.9</v>
      </c>
      <c r="L52">
        <v>-264.5</v>
      </c>
      <c r="M52" s="3">
        <v>0.15966778878049978</v>
      </c>
      <c r="O52" s="4">
        <f t="shared" si="9"/>
        <v>0.1194309660344067</v>
      </c>
      <c r="P52" s="2">
        <f>E52-F52</f>
        <v>4791</v>
      </c>
      <c r="Q52" s="2">
        <f t="shared" si="10"/>
        <v>47910000000</v>
      </c>
      <c r="R52" s="2">
        <f>Q52/B52</f>
        <v>4839393.9393939395</v>
      </c>
      <c r="S52" s="2">
        <f t="shared" ca="1" si="11"/>
        <v>5455357368.3566732</v>
      </c>
      <c r="T52" s="2">
        <f t="shared" ca="1" si="12"/>
        <v>4847057060.4187031</v>
      </c>
      <c r="U52" s="2">
        <f t="shared" ca="1" si="13"/>
        <v>5090675351.3625689</v>
      </c>
      <c r="V52" s="2">
        <f t="shared" ca="1" si="14"/>
        <v>5759628235.1114721</v>
      </c>
      <c r="W52" s="2">
        <f t="shared" ca="1" si="15"/>
        <v>4704965869.4952669</v>
      </c>
      <c r="X52" s="2">
        <f t="shared" ca="1" si="16"/>
        <v>5053520031.673727</v>
      </c>
      <c r="Y52" s="2">
        <f t="shared" ca="1" si="17"/>
        <v>5852989705.7731218</v>
      </c>
    </row>
    <row r="53" spans="1:25" x14ac:dyDescent="0.35">
      <c r="C53" s="2"/>
    </row>
    <row r="54" spans="1:25" x14ac:dyDescent="0.35">
      <c r="C54" s="2"/>
    </row>
    <row r="55" spans="1:25" x14ac:dyDescent="0.35">
      <c r="C55" s="2"/>
    </row>
    <row r="56" spans="1:25" x14ac:dyDescent="0.35">
      <c r="C56" s="2"/>
    </row>
    <row r="57" spans="1:25" x14ac:dyDescent="0.35">
      <c r="C57" s="2"/>
    </row>
    <row r="58" spans="1:25" x14ac:dyDescent="0.35">
      <c r="C58" s="2"/>
    </row>
    <row r="59" spans="1:25" x14ac:dyDescent="0.35">
      <c r="C59" s="2"/>
    </row>
    <row r="60" spans="1:25" x14ac:dyDescent="0.35">
      <c r="C60" s="2"/>
    </row>
    <row r="61" spans="1:25" x14ac:dyDescent="0.35">
      <c r="C61" s="1"/>
    </row>
    <row r="62" spans="1:25" x14ac:dyDescent="0.35">
      <c r="C62" s="1"/>
    </row>
    <row r="63" spans="1:25" x14ac:dyDescent="0.35">
      <c r="C63" s="1"/>
    </row>
    <row r="64" spans="1:25" x14ac:dyDescent="0.35">
      <c r="C64" s="1"/>
      <c r="D64"/>
    </row>
    <row r="65" spans="3:4" x14ac:dyDescent="0.35">
      <c r="C65" s="1"/>
      <c r="D65"/>
    </row>
    <row r="67" spans="3:4" x14ac:dyDescent="0.35">
      <c r="C67" s="1"/>
      <c r="D67"/>
    </row>
    <row r="68" spans="3:4" x14ac:dyDescent="0.35">
      <c r="C68" s="1"/>
      <c r="D68"/>
    </row>
    <row r="69" spans="3:4" x14ac:dyDescent="0.35">
      <c r="C69" s="1"/>
      <c r="D69"/>
    </row>
  </sheetData>
  <autoFilter ref="C1:C69" xr:uid="{B9A97D36-5AA9-4706-BACB-2B8DE34E5D88}"/>
  <sortState xmlns:xlrd2="http://schemas.microsoft.com/office/spreadsheetml/2017/richdata2" ref="B2:C69">
    <sortCondition ref="B1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Hemanshu Ashish</dc:creator>
  <cp:lastModifiedBy>Dhawan Hemanshu Ashish</cp:lastModifiedBy>
  <dcterms:created xsi:type="dcterms:W3CDTF">2026-04-12T08:26:06Z</dcterms:created>
  <dcterms:modified xsi:type="dcterms:W3CDTF">2026-04-14T07:05:32Z</dcterms:modified>
</cp:coreProperties>
</file>